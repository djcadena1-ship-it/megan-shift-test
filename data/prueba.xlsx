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B950F39-4B37-414F-8CC8-06EC2A243635}" xr6:coauthVersionLast="47" xr6:coauthVersionMax="47" xr10:uidLastSave="{00000000-0000-0000-0000-000000000000}"/>
  <bookViews>
    <workbookView xWindow="28680" yWindow="-120" windowWidth="24240" windowHeight="13020" xr2:uid="{BAE47236-5411-4B52-9C99-9BCA22432691}"/>
  </bookViews>
  <sheets>
    <sheet name="Hoja1" sheetId="1" r:id="rId1"/>
  </sheets>
  <definedNames>
    <definedName name="_xlnm._FilterDatabase" localSheetId="0" hidden="1">Hoja1!$B$5:$L$40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40" i="1" l="1"/>
  <c r="BH39" i="1"/>
  <c r="K38" i="1"/>
  <c r="BH37" i="1"/>
  <c r="BJ37" i="1" s="1"/>
  <c r="BK37" i="1" s="1"/>
  <c r="K36" i="1"/>
  <c r="BH35" i="1"/>
  <c r="K34" i="1"/>
  <c r="BH33" i="1"/>
  <c r="BJ33" i="1" s="1"/>
  <c r="BK33" i="1" s="1"/>
  <c r="K32" i="1"/>
  <c r="BH31" i="1"/>
  <c r="BJ31" i="1" s="1"/>
  <c r="K30" i="1"/>
  <c r="BH29" i="1"/>
  <c r="BJ29" i="1" s="1"/>
  <c r="BK29" i="1" s="1"/>
  <c r="K28" i="1"/>
  <c r="BH27" i="1"/>
  <c r="K26" i="1"/>
  <c r="BH25" i="1"/>
  <c r="BJ25" i="1" s="1"/>
  <c r="BK25" i="1" s="1"/>
  <c r="K24" i="1"/>
  <c r="BH23" i="1"/>
  <c r="K22" i="1"/>
  <c r="BH21" i="1"/>
  <c r="BJ21" i="1" s="1"/>
  <c r="BK21" i="1" s="1"/>
  <c r="K20" i="1"/>
  <c r="BH19" i="1"/>
  <c r="K18" i="1"/>
  <c r="BH17" i="1"/>
  <c r="BJ17" i="1" s="1"/>
  <c r="BK17" i="1" s="1"/>
  <c r="K16" i="1"/>
  <c r="BH15" i="1"/>
  <c r="K14" i="1"/>
  <c r="BJ13" i="1"/>
  <c r="BK13" i="1" s="1"/>
  <c r="K12" i="1"/>
  <c r="BH11" i="1"/>
  <c r="BJ11" i="1" s="1"/>
  <c r="K10" i="1"/>
  <c r="BH9" i="1"/>
  <c r="BJ9" i="1" s="1"/>
  <c r="BK9" i="1" s="1"/>
  <c r="K8" i="1"/>
  <c r="BH7" i="1"/>
  <c r="K6" i="1"/>
  <c r="BJ39" i="1" l="1"/>
  <c r="BK39" i="1" s="1"/>
  <c r="BH40" i="1"/>
  <c r="BK11" i="1"/>
  <c r="BJ35" i="1"/>
  <c r="BK35" i="1" s="1"/>
  <c r="BJ15" i="1"/>
  <c r="BK15" i="1" s="1"/>
  <c r="BJ19" i="1"/>
  <c r="BK19" i="1" s="1"/>
  <c r="BJ23" i="1"/>
  <c r="BK23" i="1" s="1"/>
  <c r="BJ27" i="1"/>
  <c r="BK27" i="1" s="1"/>
  <c r="BJ7" i="1"/>
  <c r="BJ40" i="1" s="1"/>
  <c r="BK7" i="1" l="1"/>
  <c r="BK40" i="1" s="1"/>
</calcChain>
</file>

<file path=xl/sharedStrings.xml><?xml version="1.0" encoding="utf-8"?>
<sst xmlns="http://schemas.openxmlformats.org/spreadsheetml/2006/main" count="517" uniqueCount="101">
  <si>
    <t>FEHA DE EMISIÓN: 31/05/2023</t>
  </si>
  <si>
    <t>VERSIÓN 1</t>
  </si>
  <si>
    <t>CÓDIGO: R-SEGF-18</t>
  </si>
  <si>
    <t>Página 1 de 1</t>
  </si>
  <si>
    <t>PROGRAMACIÓN DE OPERACIONES - KAFIRIM</t>
  </si>
  <si>
    <t>NOVEDADES</t>
  </si>
  <si>
    <t>COD CLIENTE</t>
  </si>
  <si>
    <t>PROYECTO</t>
  </si>
  <si>
    <t>CIUDAD</t>
  </si>
  <si>
    <t>NOMBRE DEL PUESTO</t>
  </si>
  <si>
    <t xml:space="preserve">CARGO </t>
  </si>
  <si>
    <t>APELLIDOS Y NOMBRES</t>
  </si>
  <si>
    <t>CEDULA</t>
  </si>
  <si>
    <t>HORARIO</t>
  </si>
  <si>
    <t>SERVICIO PRESTADO</t>
  </si>
  <si>
    <t>TURNO</t>
  </si>
  <si>
    <t>CANT TURNOS</t>
  </si>
  <si>
    <t>GENERO</t>
  </si>
  <si>
    <t>MODALIDAD</t>
  </si>
  <si>
    <t>FECHA NOVEDAD</t>
  </si>
  <si>
    <t>OBSERVACIONES</t>
  </si>
  <si>
    <t>FECHA TURNO ADIC</t>
  </si>
  <si>
    <t>MOTIVO TURNO</t>
  </si>
  <si>
    <t>H.EXTRA FACTURABLE</t>
  </si>
  <si>
    <t>H. EXTRA NO FACTURABLE</t>
  </si>
  <si>
    <t>TOTAL H.EXTRAS</t>
  </si>
  <si>
    <t>DIFERENCIAS</t>
  </si>
  <si>
    <t>CASA MOTOR PLAN</t>
  </si>
  <si>
    <t>GUAYAQUIL</t>
  </si>
  <si>
    <t xml:space="preserve">RECPESIONISTA </t>
  </si>
  <si>
    <t>MACIAS RUIZ JUAN CARLOS</t>
  </si>
  <si>
    <t>0920009255</t>
  </si>
  <si>
    <t>12H L-V</t>
  </si>
  <si>
    <t>SERVICIO PRESTADO DE 12H L-V +6SAB</t>
  </si>
  <si>
    <t>M</t>
  </si>
  <si>
    <t>D</t>
  </si>
  <si>
    <t>5X2</t>
  </si>
  <si>
    <t>HORAS EXTRAS</t>
  </si>
  <si>
    <t>EXPOCSA</t>
  </si>
  <si>
    <t>EDIFICIO</t>
  </si>
  <si>
    <t>GUARDIA DE SEGURIDAD</t>
  </si>
  <si>
    <t>MOLINA TENORIO LUIS ALBERTO</t>
  </si>
  <si>
    <t>0919181669</t>
  </si>
  <si>
    <t>12H L-D</t>
  </si>
  <si>
    <t>SERVICIO PRESTADO DE 24H L-D</t>
  </si>
  <si>
    <t>ANDINO CASTRO ANTHONY JAVIER</t>
  </si>
  <si>
    <t>0930179080</t>
  </si>
  <si>
    <t>BACK-UP</t>
  </si>
  <si>
    <t>2X3X2</t>
  </si>
  <si>
    <t>MENDOZA MERO JOSE DIOGENES</t>
  </si>
  <si>
    <t>0925300618</t>
  </si>
  <si>
    <t>3X2X2</t>
  </si>
  <si>
    <t>ADMINISTRATIVOS KAFIRIM</t>
  </si>
  <si>
    <t>IBARRA TENORIO CARLOS FRANCISCO</t>
  </si>
  <si>
    <t>0923160808</t>
  </si>
  <si>
    <t>8 H L-V</t>
  </si>
  <si>
    <t>ADMIN</t>
  </si>
  <si>
    <t>CHIRIGUAYA ALMEIDA CARMEN MERCEDES</t>
  </si>
  <si>
    <t>0927650622</t>
  </si>
  <si>
    <t>08H L-V</t>
  </si>
  <si>
    <t>SERVICIO PRESTADO DE 08H L-V</t>
  </si>
  <si>
    <t>F</t>
  </si>
  <si>
    <t>ANTON ESPINOZA PAULO CESAR</t>
  </si>
  <si>
    <t>0922198916</t>
  </si>
  <si>
    <t>SERVICIO PRESTADO DE 12H L-V</t>
  </si>
  <si>
    <t>3X3X3</t>
  </si>
  <si>
    <t>UNIVERSIDAD CASA GRANDE</t>
  </si>
  <si>
    <t>ADMISIÓN</t>
  </si>
  <si>
    <t>AVILES PINILLO RITA RAQUEL</t>
  </si>
  <si>
    <t>0804288405</t>
  </si>
  <si>
    <t>REVELO LINO JULIO CESAR</t>
  </si>
  <si>
    <t>0917789430</t>
  </si>
  <si>
    <t>24 H L-D</t>
  </si>
  <si>
    <t>4X4X2</t>
  </si>
  <si>
    <t>MEDINA OLAYA EDGAR ANTHONY</t>
  </si>
  <si>
    <t>0957502198</t>
  </si>
  <si>
    <t>VELEZ JURADO MANUEL BENJAMIN</t>
  </si>
  <si>
    <t>0958559049</t>
  </si>
  <si>
    <t>QUIJIJE PINCAY SANTO ERICK</t>
  </si>
  <si>
    <t>0953253929</t>
  </si>
  <si>
    <t>PUCHAICELA CANDADO LUIS FERNANDO</t>
  </si>
  <si>
    <t>0929007417</t>
  </si>
  <si>
    <t>FALT</t>
  </si>
  <si>
    <t>RT</t>
  </si>
  <si>
    <t>1.- 27/02/2026</t>
  </si>
  <si>
    <t>1.-FALT</t>
  </si>
  <si>
    <t xml:space="preserve">VERDITOP 1 </t>
  </si>
  <si>
    <t>VILLAFUERTE BAILON JOSE LUIS</t>
  </si>
  <si>
    <t>0913129888</t>
  </si>
  <si>
    <t>ALAY GARCIA LUIS JOSE</t>
  </si>
  <si>
    <t>0920521853</t>
  </si>
  <si>
    <t>2X2X2</t>
  </si>
  <si>
    <t>FERRUZOLA PAUCAR RODOLFO ELIAS</t>
  </si>
  <si>
    <t>1308539467</t>
  </si>
  <si>
    <t xml:space="preserve">ESTELITA RAMIREZ </t>
  </si>
  <si>
    <t>QUITO</t>
  </si>
  <si>
    <t>CAFE ROJO</t>
  </si>
  <si>
    <t>ZAMBRANO MARTINEZ JUNIOR CLEMENTE</t>
  </si>
  <si>
    <t>9 H L-J +11 H V / S</t>
  </si>
  <si>
    <t xml:space="preserve">SERVICIO PRESTADO  09 HORAS DE LUNES A JUEVES + 11 VIERNES Y  SABADOS </t>
  </si>
  <si>
    <t xml:space="preserve">HORAS EXTRAS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</si>
</sst>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15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3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14" fontId="7" fillId="3" borderId="1" xfId="0" applyNumberFormat="1" applyFont="1" applyFill="1" applyBorder="1" applyAlignment="1" applyProtection="1">
      <alignment horizontal="left" vertical="center" textRotation="90" wrapText="1"/>
      <protection locked="0"/>
    </xf>
    <xf numFmtId="1" fontId="8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>
      <alignment horizontal="left" wrapText="1"/>
    </xf>
    <xf numFmtId="0" fontId="8" fillId="2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left" wrapText="1"/>
    </xf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/>
    </xf>
    <xf numFmtId="1" fontId="11" fillId="3" borderId="1" xfId="0" applyNumberFormat="1" applyFont="1" applyFill="1" applyBorder="1" applyAlignment="1" applyProtection="1">
      <alignment horizontal="left" vertical="center" wrapText="1"/>
      <protection locked="0"/>
    </xf>
    <xf numFmtId="1" fontId="11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9" fillId="3" borderId="1" xfId="0" applyNumberFormat="1" applyFont="1" applyFill="1" applyBorder="1" applyAlignment="1">
      <alignment horizontal="left" wrapText="1"/>
    </xf>
    <xf numFmtId="0" fontId="9" fillId="4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left"/>
    </xf>
    <xf numFmtId="0" fontId="8" fillId="5" borderId="1" xfId="0" applyFont="1" applyFill="1" applyBorder="1" applyAlignment="1">
      <alignment horizontal="left" wrapText="1"/>
    </xf>
    <xf numFmtId="0" fontId="8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center" wrapText="1"/>
    </xf>
    <xf numFmtId="0" fontId="8" fillId="5" borderId="1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 applyProtection="1">
      <alignment horizontal="center" vertical="center" wrapText="1"/>
      <protection locked="0"/>
    </xf>
    <xf numFmtId="49" fontId="3" fillId="0" borderId="1" xfId="0" applyNumberFormat="1" applyFont="1" applyBorder="1"/>
    <xf numFmtId="0" fontId="3" fillId="0" borderId="1" xfId="0" applyFont="1" applyBorder="1"/>
    <xf numFmtId="2" fontId="3" fillId="0" borderId="1" xfId="0" applyNumberFormat="1" applyFont="1" applyBorder="1"/>
    <xf numFmtId="0" fontId="3" fillId="7" borderId="1" xfId="0" applyFont="1" applyFill="1" applyBorder="1" applyAlignment="1">
      <alignment horizontal="center" wrapText="1"/>
    </xf>
    <xf numFmtId="2" fontId="3" fillId="0" borderId="1" xfId="0" applyNumberFormat="1" applyFont="1" applyBorder="1" applyAlignment="1">
      <alignment horizontal="center"/>
    </xf>
    <xf numFmtId="4" fontId="3" fillId="5" borderId="1" xfId="0" applyNumberFormat="1" applyFont="1" applyFill="1" applyBorder="1"/>
    <xf numFmtId="49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2" fontId="3" fillId="0" borderId="1" xfId="0" applyNumberFormat="1" applyFont="1" applyBorder="1" applyAlignment="1">
      <alignment horizontal="right"/>
    </xf>
    <xf numFmtId="2" fontId="13" fillId="0" borderId="12" xfId="0" applyNumberFormat="1" applyFont="1" applyBorder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0" fontId="9" fillId="5" borderId="1" xfId="0" applyFont="1" applyFill="1" applyBorder="1" applyAlignment="1">
      <alignment horizontal="left" vertical="center"/>
    </xf>
    <xf numFmtId="49" fontId="11" fillId="5" borderId="1" xfId="0" quotePrefix="1" applyNumberFormat="1" applyFont="1" applyFill="1" applyBorder="1" applyAlignment="1" applyProtection="1">
      <alignment horizontal="center" vertical="center" wrapText="1"/>
      <protection locked="0"/>
    </xf>
    <xf numFmtId="0" fontId="8" fillId="5" borderId="13" xfId="0" applyFont="1" applyFill="1" applyBorder="1" applyAlignment="1">
      <alignment horizontal="center" wrapText="1"/>
    </xf>
    <xf numFmtId="0" fontId="7" fillId="5" borderId="1" xfId="0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>
      <alignment horizontal="left" vertical="center"/>
    </xf>
    <xf numFmtId="49" fontId="8" fillId="5" borderId="1" xfId="0" quotePrefix="1" applyNumberFormat="1" applyFont="1" applyFill="1" applyBorder="1" applyAlignment="1" applyProtection="1">
      <alignment horizontal="center" vertical="center" wrapText="1"/>
      <protection locked="0"/>
    </xf>
    <xf numFmtId="0" fontId="15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8" fillId="5" borderId="1" xfId="0" applyFont="1" applyFill="1" applyBorder="1" applyAlignment="1">
      <alignment horizontal="center" vertical="center" wrapText="1"/>
    </xf>
    <xf numFmtId="0" fontId="16" fillId="8" borderId="14" xfId="0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8" fillId="5" borderId="1" xfId="0" applyFont="1" applyFill="1" applyBorder="1" applyAlignment="1">
      <alignment vertical="center" wrapText="1"/>
    </xf>
    <xf numFmtId="49" fontId="3" fillId="0" borderId="1" xfId="0" applyNumberFormat="1" applyFont="1" applyBorder="1" applyAlignment="1">
      <alignment horizontal="center" wrapText="1"/>
    </xf>
    <xf numFmtId="0" fontId="0" fillId="0" borderId="1" xfId="0" applyBorder="1"/>
    <xf numFmtId="0" fontId="17" fillId="0" borderId="1" xfId="0" applyFont="1" applyBorder="1" applyAlignment="1">
      <alignment horizontal="left" wrapText="1"/>
    </xf>
    <xf numFmtId="0" fontId="18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9" fillId="5" borderId="1" xfId="0" applyFont="1" applyFill="1" applyBorder="1"/>
    <xf numFmtId="49" fontId="20" fillId="0" borderId="1" xfId="0" applyNumberFormat="1" applyFont="1" applyBorder="1"/>
    <xf numFmtId="0" fontId="18" fillId="0" borderId="10" xfId="0" applyFont="1" applyBorder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2" fontId="3" fillId="0" borderId="15" xfId="0" applyNumberFormat="1" applyFont="1" applyBorder="1"/>
    <xf numFmtId="2" fontId="13" fillId="0" borderId="16" xfId="0" applyNumberFormat="1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49" fontId="0" fillId="0" borderId="1" xfId="0" applyNumberFormat="1" applyBorder="1"/>
    <xf numFmtId="2" fontId="13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18" fillId="5" borderId="1" xfId="0" applyFont="1" applyFill="1" applyBorder="1" applyAlignment="1">
      <alignment horizontal="left" vertical="center" wrapText="1"/>
    </xf>
    <xf numFmtId="49" fontId="23" fillId="5" borderId="1" xfId="0" quotePrefix="1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3" fillId="0" borderId="11" xfId="0" applyFont="1" applyBorder="1" applyAlignment="1">
      <alignment horizontal="center" wrapText="1"/>
    </xf>
    <xf numFmtId="0" fontId="3" fillId="0" borderId="11" xfId="0" applyFont="1" applyBorder="1" applyAlignment="1">
      <alignment horizontal="center"/>
    </xf>
    <xf numFmtId="0" fontId="7" fillId="5" borderId="11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164" fontId="14" fillId="0" borderId="1" xfId="0" applyNumberFormat="1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1" fontId="14" fillId="5" borderId="1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 wrapText="1"/>
    </xf>
    <xf numFmtId="0" fontId="16" fillId="0" borderId="0" xfId="0" applyFont="1" applyBorder="1" applyAlignment="1">
      <alignment horizontal="center" vertical="center"/>
    </xf>
    <xf numFmtId="0" fontId="16" fillId="8" borderId="0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</cellXfs>
  <cellStyles count="2">
    <cellStyle name="Normal" xfId="0" builtinId="0"/>
    <cellStyle name="Normal 9" xfId="1" xr:uid="{11F9D21F-D262-4275-B06E-A7B11770513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E187-4312-4E8F-B39C-1A21DE6BBF37}">
  <dimension ref="A1:BK40"/>
  <sheetViews>
    <sheetView tabSelected="1" topLeftCell="B1" zoomScale="78" zoomScaleNormal="78" workbookViewId="0">
      <pane xSplit="5" ySplit="5" topLeftCell="T6" activePane="bottomRight" state="frozen"/>
      <selection activeCell="B1" sqref="B1"/>
      <selection pane="topRight" activeCell="G1" sqref="G1"/>
      <selection pane="bottomLeft" activeCell="B6" sqref="B6"/>
      <selection pane="bottomRight" activeCell="AR9" sqref="AR9"/>
    </sheetView>
  </sheetViews>
  <sheetFormatPr baseColWidth="10" defaultRowHeight="21" customHeight="1" x14ac:dyDescent="0.3"/>
  <cols>
    <col min="1" max="1" width="2.6640625" customWidth="1"/>
    <col min="2" max="2" width="18.44140625" style="106" customWidth="1"/>
    <col min="3" max="3" width="13" style="7" customWidth="1"/>
    <col min="4" max="4" width="12.109375" style="7" customWidth="1"/>
    <col min="5" max="5" width="22.44140625" style="107" customWidth="1"/>
    <col min="6" max="6" width="31" style="106" customWidth="1"/>
    <col min="7" max="7" width="15.6640625" style="7" customWidth="1"/>
    <col min="8" max="8" width="11.44140625" style="7" customWidth="1"/>
    <col min="9" max="9" width="28.77734375" style="106" customWidth="1"/>
    <col min="10" max="10" width="9.5546875" style="7" customWidth="1"/>
    <col min="11" max="11" width="4.5546875" style="7" customWidth="1"/>
    <col min="12" max="12" width="5.77734375" style="108" customWidth="1"/>
    <col min="13" max="54" width="4.5546875" customWidth="1"/>
    <col min="55" max="55" width="7.5546875" style="7" customWidth="1"/>
    <col min="56" max="56" width="14.6640625" style="8" customWidth="1"/>
    <col min="57" max="57" width="15.33203125" customWidth="1"/>
    <col min="58" max="58" width="21.5546875" style="8" customWidth="1"/>
    <col min="59" max="59" width="39.109375" customWidth="1"/>
    <col min="60" max="62" width="12.88671875" style="9" customWidth="1"/>
    <col min="63" max="63" width="11.5546875" style="10"/>
  </cols>
  <sheetData>
    <row r="1" spans="1:63" ht="21" customHeight="1" x14ac:dyDescent="0.3">
      <c r="A1" s="1"/>
      <c r="B1" s="2" t="s">
        <v>0</v>
      </c>
      <c r="C1" s="2"/>
      <c r="D1" s="3"/>
      <c r="E1" s="2" t="s">
        <v>1</v>
      </c>
      <c r="F1" s="2"/>
      <c r="G1" s="4" t="s">
        <v>2</v>
      </c>
      <c r="H1" s="5"/>
      <c r="I1" s="5"/>
      <c r="J1" s="5"/>
      <c r="K1" s="5"/>
      <c r="L1" s="6"/>
    </row>
    <row r="2" spans="1:63" ht="19.8" customHeight="1" x14ac:dyDescent="0.3">
      <c r="A2" s="1"/>
      <c r="B2" s="2"/>
      <c r="C2" s="2"/>
      <c r="D2" s="3"/>
      <c r="E2" s="2"/>
      <c r="F2" s="2"/>
      <c r="G2" s="11"/>
      <c r="H2" s="12"/>
      <c r="I2" s="12"/>
      <c r="J2" s="12"/>
      <c r="K2" s="12"/>
      <c r="L2" s="13"/>
    </row>
    <row r="3" spans="1:63" ht="21" hidden="1" customHeight="1" x14ac:dyDescent="0.3">
      <c r="A3" s="1"/>
      <c r="B3" s="2"/>
      <c r="C3" s="2"/>
      <c r="D3" s="3"/>
      <c r="E3" s="2"/>
      <c r="F3" s="2"/>
      <c r="G3" s="14" t="s">
        <v>3</v>
      </c>
      <c r="H3" s="15"/>
      <c r="I3" s="15"/>
      <c r="J3" s="15"/>
      <c r="K3" s="15"/>
      <c r="L3" s="16"/>
    </row>
    <row r="4" spans="1:63" ht="102.6" customHeight="1" x14ac:dyDescent="0.3">
      <c r="A4" s="1"/>
      <c r="B4" s="17" t="s">
        <v>4</v>
      </c>
      <c r="C4" s="18"/>
      <c r="D4" s="18"/>
      <c r="E4" s="18"/>
      <c r="F4" s="18"/>
      <c r="G4" s="18"/>
      <c r="H4" s="18"/>
      <c r="I4" s="18"/>
      <c r="J4" s="18"/>
      <c r="K4" s="18"/>
      <c r="L4" s="19"/>
      <c r="M4" s="20">
        <v>46069</v>
      </c>
      <c r="N4" s="20">
        <v>46070</v>
      </c>
      <c r="O4" s="20">
        <v>46071</v>
      </c>
      <c r="P4" s="20">
        <v>46072</v>
      </c>
      <c r="Q4" s="20">
        <v>46073</v>
      </c>
      <c r="R4" s="20">
        <v>46074</v>
      </c>
      <c r="S4" s="20">
        <v>46075</v>
      </c>
      <c r="T4" s="20">
        <v>46076</v>
      </c>
      <c r="U4" s="20">
        <v>46077</v>
      </c>
      <c r="V4" s="20">
        <v>46078</v>
      </c>
      <c r="W4" s="20">
        <v>46079</v>
      </c>
      <c r="X4" s="20">
        <v>46080</v>
      </c>
      <c r="Y4" s="20">
        <v>46081</v>
      </c>
      <c r="Z4" s="20">
        <v>46082</v>
      </c>
      <c r="AA4" s="20">
        <v>46083</v>
      </c>
      <c r="AB4" s="20">
        <v>46084</v>
      </c>
      <c r="AC4" s="20">
        <v>46085</v>
      </c>
      <c r="AD4" s="20">
        <v>46086</v>
      </c>
      <c r="AE4" s="20">
        <v>46087</v>
      </c>
      <c r="AF4" s="20">
        <v>46088</v>
      </c>
      <c r="AG4" s="20">
        <v>46089</v>
      </c>
      <c r="AH4" s="20">
        <v>46090</v>
      </c>
      <c r="AI4" s="20">
        <v>46091</v>
      </c>
      <c r="AJ4" s="20">
        <v>46092</v>
      </c>
      <c r="AK4" s="20">
        <v>46093</v>
      </c>
      <c r="AL4" s="20">
        <v>46094</v>
      </c>
      <c r="AM4" s="20">
        <v>46095</v>
      </c>
      <c r="AN4" s="20">
        <v>46096</v>
      </c>
      <c r="AO4" s="20">
        <v>46097</v>
      </c>
      <c r="AP4" s="20">
        <v>46098</v>
      </c>
      <c r="AQ4" s="20">
        <v>46099</v>
      </c>
      <c r="AR4" s="20">
        <v>46100</v>
      </c>
      <c r="AS4" s="20">
        <v>46101</v>
      </c>
      <c r="AT4" s="20">
        <v>46102</v>
      </c>
      <c r="AU4" s="20">
        <v>46103</v>
      </c>
      <c r="AV4" s="20">
        <v>46104</v>
      </c>
      <c r="AW4" s="20">
        <v>46105</v>
      </c>
      <c r="AX4" s="20">
        <v>46106</v>
      </c>
      <c r="AY4" s="20">
        <v>46107</v>
      </c>
      <c r="AZ4" s="20">
        <v>46108</v>
      </c>
      <c r="BA4" s="20">
        <v>46109</v>
      </c>
      <c r="BB4" s="20">
        <v>46110</v>
      </c>
      <c r="BC4" s="21"/>
      <c r="BD4" s="22" t="s">
        <v>5</v>
      </c>
      <c r="BE4" s="22"/>
      <c r="BF4" s="22"/>
      <c r="BG4" s="22"/>
      <c r="BH4" s="23"/>
      <c r="BI4" s="23"/>
      <c r="BJ4" s="23"/>
    </row>
    <row r="5" spans="1:63" ht="37.200000000000003" customHeight="1" x14ac:dyDescent="0.3">
      <c r="A5" s="24" t="s">
        <v>6</v>
      </c>
      <c r="B5" s="25" t="s">
        <v>7</v>
      </c>
      <c r="C5" s="26" t="s">
        <v>8</v>
      </c>
      <c r="D5" s="27" t="s">
        <v>9</v>
      </c>
      <c r="E5" s="24" t="s">
        <v>10</v>
      </c>
      <c r="F5" s="24" t="s">
        <v>11</v>
      </c>
      <c r="G5" s="26" t="s">
        <v>12</v>
      </c>
      <c r="H5" s="27" t="s">
        <v>13</v>
      </c>
      <c r="I5" s="24" t="s">
        <v>14</v>
      </c>
      <c r="J5" s="26" t="s">
        <v>15</v>
      </c>
      <c r="K5" s="27" t="s">
        <v>16</v>
      </c>
      <c r="L5" s="28" t="s">
        <v>17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30" t="s">
        <v>18</v>
      </c>
      <c r="BD5" s="31" t="s">
        <v>19</v>
      </c>
      <c r="BE5" s="24" t="s">
        <v>20</v>
      </c>
      <c r="BF5" s="31" t="s">
        <v>21</v>
      </c>
      <c r="BG5" s="24" t="s">
        <v>22</v>
      </c>
      <c r="BH5" s="32" t="s">
        <v>23</v>
      </c>
      <c r="BI5" s="33" t="s">
        <v>24</v>
      </c>
      <c r="BJ5" s="27" t="s">
        <v>25</v>
      </c>
      <c r="BK5" s="10" t="s">
        <v>26</v>
      </c>
    </row>
    <row r="6" spans="1:63" ht="21" customHeight="1" x14ac:dyDescent="0.3">
      <c r="A6" s="34"/>
      <c r="B6" s="35" t="s">
        <v>27</v>
      </c>
      <c r="C6" s="36" t="s">
        <v>28</v>
      </c>
      <c r="D6" s="36" t="s">
        <v>29</v>
      </c>
      <c r="E6" s="35" t="s">
        <v>29</v>
      </c>
      <c r="F6" s="37" t="s">
        <v>30</v>
      </c>
      <c r="G6" s="38" t="s">
        <v>31</v>
      </c>
      <c r="H6" s="39" t="s">
        <v>32</v>
      </c>
      <c r="I6" s="35" t="s">
        <v>33</v>
      </c>
      <c r="J6" s="40" t="s">
        <v>15</v>
      </c>
      <c r="K6" s="40">
        <f>COUNT(#REF!)</f>
        <v>0</v>
      </c>
      <c r="L6" s="41" t="s">
        <v>34</v>
      </c>
      <c r="M6" s="42">
        <v>4</v>
      </c>
      <c r="N6" s="42">
        <v>4</v>
      </c>
      <c r="O6" s="42">
        <v>4</v>
      </c>
      <c r="P6" s="42">
        <v>4</v>
      </c>
      <c r="Q6" s="42">
        <v>4</v>
      </c>
      <c r="R6" s="43" t="s">
        <v>35</v>
      </c>
      <c r="S6" s="43" t="s">
        <v>35</v>
      </c>
      <c r="T6" s="42">
        <v>4</v>
      </c>
      <c r="U6" s="42">
        <v>4</v>
      </c>
      <c r="V6" s="42">
        <v>4</v>
      </c>
      <c r="W6" s="42">
        <v>4</v>
      </c>
      <c r="X6" s="42">
        <v>4</v>
      </c>
      <c r="Y6" s="43" t="s">
        <v>35</v>
      </c>
      <c r="Z6" s="43" t="s">
        <v>35</v>
      </c>
      <c r="AA6" s="42">
        <v>4</v>
      </c>
      <c r="AB6" s="42">
        <v>4</v>
      </c>
      <c r="AC6" s="42">
        <v>4</v>
      </c>
      <c r="AD6" s="42">
        <v>4</v>
      </c>
      <c r="AE6" s="42">
        <v>4</v>
      </c>
      <c r="AF6" s="43" t="s">
        <v>35</v>
      </c>
      <c r="AG6" s="43" t="s">
        <v>35</v>
      </c>
      <c r="AH6" s="42">
        <v>4</v>
      </c>
      <c r="AI6" s="42">
        <v>4</v>
      </c>
      <c r="AJ6" s="42">
        <v>4</v>
      </c>
      <c r="AK6" s="42">
        <v>4</v>
      </c>
      <c r="AL6" s="42">
        <v>4</v>
      </c>
      <c r="AM6" s="43" t="s">
        <v>35</v>
      </c>
      <c r="AN6" s="43" t="s">
        <v>35</v>
      </c>
      <c r="AO6" s="42">
        <v>4</v>
      </c>
      <c r="AP6" s="42">
        <v>4</v>
      </c>
      <c r="AQ6" s="42">
        <v>4</v>
      </c>
      <c r="AR6" s="42">
        <v>4</v>
      </c>
      <c r="AS6" s="42">
        <v>4</v>
      </c>
      <c r="AT6" s="43" t="s">
        <v>35</v>
      </c>
      <c r="AU6" s="43" t="s">
        <v>35</v>
      </c>
      <c r="AV6" s="42">
        <v>4</v>
      </c>
      <c r="AW6" s="42">
        <v>4</v>
      </c>
      <c r="AX6" s="42">
        <v>4</v>
      </c>
      <c r="AY6" s="42">
        <v>4</v>
      </c>
      <c r="AZ6" s="42">
        <v>4</v>
      </c>
      <c r="BA6" s="43" t="s">
        <v>35</v>
      </c>
      <c r="BB6" s="43" t="s">
        <v>35</v>
      </c>
      <c r="BC6" s="41" t="s">
        <v>36</v>
      </c>
      <c r="BD6" s="44"/>
      <c r="BE6" s="45"/>
      <c r="BF6" s="44"/>
      <c r="BG6" s="45"/>
      <c r="BH6" s="46"/>
      <c r="BI6" s="46"/>
      <c r="BJ6" s="46"/>
    </row>
    <row r="7" spans="1:63" ht="21" customHeight="1" x14ac:dyDescent="0.3">
      <c r="A7" s="34"/>
      <c r="B7" s="35" t="s">
        <v>27</v>
      </c>
      <c r="C7" s="36" t="s">
        <v>28</v>
      </c>
      <c r="D7" s="36" t="s">
        <v>29</v>
      </c>
      <c r="E7" s="35" t="s">
        <v>29</v>
      </c>
      <c r="F7" s="37" t="s">
        <v>30</v>
      </c>
      <c r="G7" s="38" t="s">
        <v>31</v>
      </c>
      <c r="H7" s="36" t="s">
        <v>32</v>
      </c>
      <c r="I7" s="35" t="s">
        <v>33</v>
      </c>
      <c r="J7" s="47" t="s">
        <v>37</v>
      </c>
      <c r="K7" s="40"/>
      <c r="L7" s="48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1"/>
      <c r="BD7" s="44"/>
      <c r="BE7" s="45"/>
      <c r="BF7" s="50"/>
      <c r="BG7" s="51"/>
      <c r="BH7" s="52" t="e">
        <f>SUM(#REF!)</f>
        <v>#REF!</v>
      </c>
      <c r="BI7" s="52"/>
      <c r="BJ7" s="53" t="e">
        <f>SUBTOTAL(9,BH7:BI7)</f>
        <v>#REF!</v>
      </c>
      <c r="BK7" s="54" t="e">
        <f>+BH7+BI7-BJ7</f>
        <v>#REF!</v>
      </c>
    </row>
    <row r="8" spans="1:63" ht="21" customHeight="1" x14ac:dyDescent="0.3">
      <c r="A8" s="34"/>
      <c r="B8" s="35" t="s">
        <v>38</v>
      </c>
      <c r="C8" s="36" t="s">
        <v>28</v>
      </c>
      <c r="D8" s="36" t="s">
        <v>39</v>
      </c>
      <c r="E8" s="35" t="s">
        <v>40</v>
      </c>
      <c r="F8" s="55" t="s">
        <v>41</v>
      </c>
      <c r="G8" s="56" t="s">
        <v>42</v>
      </c>
      <c r="H8" s="57" t="s">
        <v>43</v>
      </c>
      <c r="I8" s="35" t="s">
        <v>44</v>
      </c>
      <c r="J8" s="40" t="s">
        <v>15</v>
      </c>
      <c r="K8" s="40">
        <f>COUNT(#REF!)</f>
        <v>0</v>
      </c>
      <c r="L8" s="41" t="s">
        <v>34</v>
      </c>
      <c r="M8" s="42">
        <v>5</v>
      </c>
      <c r="N8" s="43" t="s">
        <v>35</v>
      </c>
      <c r="O8" s="43" t="s">
        <v>35</v>
      </c>
      <c r="P8" s="42">
        <v>4</v>
      </c>
      <c r="Q8" s="42">
        <v>4</v>
      </c>
      <c r="R8" s="42">
        <v>5</v>
      </c>
      <c r="S8" s="42">
        <v>5</v>
      </c>
      <c r="T8" s="42">
        <v>5</v>
      </c>
      <c r="U8" s="43" t="s">
        <v>35</v>
      </c>
      <c r="V8" s="43" t="s">
        <v>35</v>
      </c>
      <c r="W8" s="42">
        <v>4</v>
      </c>
      <c r="X8" s="42">
        <v>4</v>
      </c>
      <c r="Y8" s="42">
        <v>5</v>
      </c>
      <c r="Z8" s="42">
        <v>5</v>
      </c>
      <c r="AA8" s="42">
        <v>5</v>
      </c>
      <c r="AB8" s="43" t="s">
        <v>35</v>
      </c>
      <c r="AC8" s="43" t="s">
        <v>35</v>
      </c>
      <c r="AD8" s="42">
        <v>4</v>
      </c>
      <c r="AE8" s="42">
        <v>4</v>
      </c>
      <c r="AF8" s="42">
        <v>5</v>
      </c>
      <c r="AG8" s="42">
        <v>5</v>
      </c>
      <c r="AH8" s="42">
        <v>5</v>
      </c>
      <c r="AI8" s="43" t="s">
        <v>35</v>
      </c>
      <c r="AJ8" s="43" t="s">
        <v>35</v>
      </c>
      <c r="AK8" s="42">
        <v>4</v>
      </c>
      <c r="AL8" s="42">
        <v>4</v>
      </c>
      <c r="AM8" s="42">
        <v>5</v>
      </c>
      <c r="AN8" s="42">
        <v>5</v>
      </c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1" t="s">
        <v>36</v>
      </c>
      <c r="BD8" s="44"/>
      <c r="BE8" s="45"/>
      <c r="BF8" s="50"/>
      <c r="BG8" s="51"/>
      <c r="BH8" s="46"/>
      <c r="BI8" s="46"/>
      <c r="BJ8" s="46"/>
    </row>
    <row r="9" spans="1:63" ht="21" customHeight="1" x14ac:dyDescent="0.3">
      <c r="A9" s="34"/>
      <c r="B9" s="35" t="s">
        <v>38</v>
      </c>
      <c r="C9" s="36" t="s">
        <v>28</v>
      </c>
      <c r="D9" s="36" t="s">
        <v>39</v>
      </c>
      <c r="E9" s="35" t="s">
        <v>40</v>
      </c>
      <c r="F9" s="55" t="s">
        <v>41</v>
      </c>
      <c r="G9" s="56" t="s">
        <v>42</v>
      </c>
      <c r="H9" s="36" t="s">
        <v>43</v>
      </c>
      <c r="I9" s="35" t="s">
        <v>44</v>
      </c>
      <c r="J9" s="47" t="s">
        <v>37</v>
      </c>
      <c r="K9" s="40"/>
      <c r="L9" s="4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41"/>
      <c r="BD9" s="44"/>
      <c r="BE9" s="45"/>
      <c r="BF9" s="50"/>
      <c r="BG9" s="51"/>
      <c r="BH9" s="46" t="e">
        <f>SUM(#REF!)</f>
        <v>#REF!</v>
      </c>
      <c r="BI9" s="46"/>
      <c r="BJ9" s="53" t="e">
        <f>SUBTOTAL(9,BH9:BI9)</f>
        <v>#REF!</v>
      </c>
      <c r="BK9" s="10" t="e">
        <f>+BH9+BI9-BJ9</f>
        <v>#REF!</v>
      </c>
    </row>
    <row r="10" spans="1:63" ht="21" customHeight="1" x14ac:dyDescent="0.3">
      <c r="A10" s="34"/>
      <c r="B10" s="35" t="s">
        <v>38</v>
      </c>
      <c r="C10" s="36" t="s">
        <v>28</v>
      </c>
      <c r="D10" s="36" t="s">
        <v>39</v>
      </c>
      <c r="E10" s="35" t="s">
        <v>40</v>
      </c>
      <c r="F10" s="59" t="s">
        <v>45</v>
      </c>
      <c r="G10" s="60" t="s">
        <v>46</v>
      </c>
      <c r="H10" s="57" t="s">
        <v>43</v>
      </c>
      <c r="I10" s="35" t="s">
        <v>44</v>
      </c>
      <c r="J10" s="40" t="s">
        <v>15</v>
      </c>
      <c r="K10" s="40">
        <f>COUNT(#REF!)</f>
        <v>0</v>
      </c>
      <c r="L10" s="41" t="s">
        <v>34</v>
      </c>
      <c r="M10" s="61" t="s">
        <v>47</v>
      </c>
      <c r="N10" s="42">
        <v>5</v>
      </c>
      <c r="O10" s="42">
        <v>5</v>
      </c>
      <c r="P10" s="43" t="s">
        <v>35</v>
      </c>
      <c r="Q10" s="43" t="s">
        <v>35</v>
      </c>
      <c r="R10" s="42">
        <v>4</v>
      </c>
      <c r="S10" s="42">
        <v>4</v>
      </c>
      <c r="T10" s="61" t="s">
        <v>47</v>
      </c>
      <c r="U10" s="42">
        <v>5</v>
      </c>
      <c r="V10" s="42">
        <v>5</v>
      </c>
      <c r="W10" s="43" t="s">
        <v>35</v>
      </c>
      <c r="X10" s="43" t="s">
        <v>35</v>
      </c>
      <c r="Y10" s="42">
        <v>4</v>
      </c>
      <c r="Z10" s="42">
        <v>4</v>
      </c>
      <c r="AA10" s="61" t="s">
        <v>47</v>
      </c>
      <c r="AB10" s="42">
        <v>5</v>
      </c>
      <c r="AC10" s="42">
        <v>5</v>
      </c>
      <c r="AD10" s="43" t="s">
        <v>35</v>
      </c>
      <c r="AE10" s="43" t="s">
        <v>35</v>
      </c>
      <c r="AF10" s="42">
        <v>4</v>
      </c>
      <c r="AG10" s="42">
        <v>4</v>
      </c>
      <c r="AH10" s="61" t="s">
        <v>47</v>
      </c>
      <c r="AI10" s="42">
        <v>5</v>
      </c>
      <c r="AJ10" s="42">
        <v>5</v>
      </c>
      <c r="AK10" s="43" t="s">
        <v>35</v>
      </c>
      <c r="AL10" s="43" t="s">
        <v>35</v>
      </c>
      <c r="AM10" s="42">
        <v>4</v>
      </c>
      <c r="AN10" s="42">
        <v>4</v>
      </c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1" t="s">
        <v>48</v>
      </c>
      <c r="BD10" s="44"/>
      <c r="BE10" s="45"/>
      <c r="BF10" s="50"/>
      <c r="BG10" s="51"/>
      <c r="BH10" s="46"/>
      <c r="BI10" s="46"/>
      <c r="BJ10" s="46"/>
    </row>
    <row r="11" spans="1:63" ht="21" customHeight="1" x14ac:dyDescent="0.3">
      <c r="A11" s="34"/>
      <c r="B11" s="35" t="s">
        <v>38</v>
      </c>
      <c r="C11" s="36" t="s">
        <v>28</v>
      </c>
      <c r="D11" s="36" t="s">
        <v>39</v>
      </c>
      <c r="E11" s="35" t="s">
        <v>40</v>
      </c>
      <c r="F11" s="59" t="s">
        <v>45</v>
      </c>
      <c r="G11" s="60" t="s">
        <v>46</v>
      </c>
      <c r="H11" s="36" t="s">
        <v>43</v>
      </c>
      <c r="I11" s="35" t="s">
        <v>44</v>
      </c>
      <c r="J11" s="47" t="s">
        <v>37</v>
      </c>
      <c r="K11" s="40"/>
      <c r="L11" s="41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1"/>
      <c r="BD11" s="44"/>
      <c r="BE11" s="45"/>
      <c r="BF11" s="50"/>
      <c r="BG11" s="51"/>
      <c r="BH11" s="46" t="e">
        <f>SUM(#REF!)</f>
        <v>#REF!</v>
      </c>
      <c r="BI11" s="46"/>
      <c r="BJ11" s="53" t="e">
        <f>SUBTOTAL(9,BH11:BI11)</f>
        <v>#REF!</v>
      </c>
      <c r="BK11" s="10" t="e">
        <f>+BH11+BI11-BJ11</f>
        <v>#REF!</v>
      </c>
    </row>
    <row r="12" spans="1:63" ht="21" customHeight="1" x14ac:dyDescent="0.3">
      <c r="A12" s="34"/>
      <c r="B12" s="35" t="s">
        <v>38</v>
      </c>
      <c r="C12" s="36" t="s">
        <v>28</v>
      </c>
      <c r="D12" s="36" t="s">
        <v>39</v>
      </c>
      <c r="E12" s="35" t="s">
        <v>40</v>
      </c>
      <c r="F12" s="37" t="s">
        <v>49</v>
      </c>
      <c r="G12" s="38" t="s">
        <v>50</v>
      </c>
      <c r="H12" s="57" t="s">
        <v>43</v>
      </c>
      <c r="I12" s="35" t="s">
        <v>44</v>
      </c>
      <c r="J12" s="40" t="s">
        <v>15</v>
      </c>
      <c r="K12" s="40">
        <f>COUNT(#REF!)</f>
        <v>0</v>
      </c>
      <c r="L12" s="41" t="s">
        <v>34</v>
      </c>
      <c r="M12" s="42">
        <v>4</v>
      </c>
      <c r="N12" s="42">
        <v>4</v>
      </c>
      <c r="O12" s="42">
        <v>4</v>
      </c>
      <c r="P12" s="42">
        <v>5</v>
      </c>
      <c r="Q12" s="42">
        <v>5</v>
      </c>
      <c r="R12" s="43" t="s">
        <v>35</v>
      </c>
      <c r="S12" s="43" t="s">
        <v>35</v>
      </c>
      <c r="T12" s="42">
        <v>4</v>
      </c>
      <c r="U12" s="42">
        <v>4</v>
      </c>
      <c r="V12" s="42">
        <v>4</v>
      </c>
      <c r="W12" s="42">
        <v>5</v>
      </c>
      <c r="X12" s="42">
        <v>5</v>
      </c>
      <c r="Y12" s="43" t="s">
        <v>35</v>
      </c>
      <c r="Z12" s="43" t="s">
        <v>35</v>
      </c>
      <c r="AA12" s="42">
        <v>4</v>
      </c>
      <c r="AB12" s="42">
        <v>4</v>
      </c>
      <c r="AC12" s="42">
        <v>4</v>
      </c>
      <c r="AD12" s="42">
        <v>5</v>
      </c>
      <c r="AE12" s="42">
        <v>5</v>
      </c>
      <c r="AF12" s="43" t="s">
        <v>35</v>
      </c>
      <c r="AG12" s="43" t="s">
        <v>35</v>
      </c>
      <c r="AH12" s="42">
        <v>4</v>
      </c>
      <c r="AI12" s="42">
        <v>4</v>
      </c>
      <c r="AJ12" s="42">
        <v>4</v>
      </c>
      <c r="AK12" s="42">
        <v>5</v>
      </c>
      <c r="AL12" s="42">
        <v>5</v>
      </c>
      <c r="AM12" s="43" t="s">
        <v>35</v>
      </c>
      <c r="AN12" s="43" t="s">
        <v>35</v>
      </c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1" t="s">
        <v>51</v>
      </c>
      <c r="BD12" s="44"/>
      <c r="BE12" s="45"/>
      <c r="BF12" s="44"/>
      <c r="BG12" s="51"/>
      <c r="BH12" s="46"/>
      <c r="BI12" s="46"/>
      <c r="BJ12" s="46"/>
    </row>
    <row r="13" spans="1:63" ht="21" customHeight="1" x14ac:dyDescent="0.3">
      <c r="A13" s="34"/>
      <c r="B13" s="35" t="s">
        <v>38</v>
      </c>
      <c r="C13" s="36" t="s">
        <v>28</v>
      </c>
      <c r="D13" s="36" t="s">
        <v>39</v>
      </c>
      <c r="E13" s="35" t="s">
        <v>40</v>
      </c>
      <c r="F13" s="37" t="s">
        <v>49</v>
      </c>
      <c r="G13" s="38" t="s">
        <v>50</v>
      </c>
      <c r="H13" s="36" t="s">
        <v>43</v>
      </c>
      <c r="I13" s="35" t="s">
        <v>44</v>
      </c>
      <c r="J13" s="47" t="s">
        <v>37</v>
      </c>
      <c r="K13" s="40"/>
      <c r="L13" s="48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3"/>
      <c r="BD13" s="44"/>
      <c r="BE13" s="45"/>
      <c r="BF13" s="44"/>
      <c r="BG13" s="51"/>
      <c r="BH13" s="46"/>
      <c r="BI13" s="46">
        <v>12</v>
      </c>
      <c r="BJ13" s="53">
        <f>SUBTOTAL(9,BH13:BI13)</f>
        <v>12</v>
      </c>
      <c r="BK13" s="10">
        <f>BJ13-BI13</f>
        <v>0</v>
      </c>
    </row>
    <row r="14" spans="1:63" ht="21" customHeight="1" x14ac:dyDescent="0.3">
      <c r="A14" s="34"/>
      <c r="B14" s="35" t="s">
        <v>52</v>
      </c>
      <c r="C14" s="36" t="s">
        <v>28</v>
      </c>
      <c r="D14" s="36" t="s">
        <v>39</v>
      </c>
      <c r="E14" s="35" t="s">
        <v>40</v>
      </c>
      <c r="F14" s="37" t="s">
        <v>53</v>
      </c>
      <c r="G14" s="38" t="s">
        <v>54</v>
      </c>
      <c r="H14" s="36" t="s">
        <v>55</v>
      </c>
      <c r="I14" s="35" t="s">
        <v>44</v>
      </c>
      <c r="J14" s="40" t="s">
        <v>15</v>
      </c>
      <c r="K14" s="40">
        <f>COUNT(#REF!)</f>
        <v>0</v>
      </c>
      <c r="L14" s="41" t="s">
        <v>34</v>
      </c>
      <c r="M14" s="42">
        <v>8</v>
      </c>
      <c r="N14" s="43" t="s">
        <v>35</v>
      </c>
      <c r="O14" s="43" t="s">
        <v>35</v>
      </c>
      <c r="P14" s="42">
        <v>8</v>
      </c>
      <c r="Q14" s="42">
        <v>8</v>
      </c>
      <c r="R14" s="42">
        <v>8</v>
      </c>
      <c r="S14" s="42">
        <v>8</v>
      </c>
      <c r="T14" s="42">
        <v>8</v>
      </c>
      <c r="U14" s="43" t="s">
        <v>35</v>
      </c>
      <c r="V14" s="43" t="s">
        <v>35</v>
      </c>
      <c r="W14" s="42">
        <v>8</v>
      </c>
      <c r="X14" s="42">
        <v>8</v>
      </c>
      <c r="Y14" s="42">
        <v>8</v>
      </c>
      <c r="Z14" s="42">
        <v>8</v>
      </c>
      <c r="AA14" s="42">
        <v>8</v>
      </c>
      <c r="AB14" s="43" t="s">
        <v>35</v>
      </c>
      <c r="AC14" s="43" t="s">
        <v>35</v>
      </c>
      <c r="AD14" s="42">
        <v>8</v>
      </c>
      <c r="AE14" s="42">
        <v>8</v>
      </c>
      <c r="AF14" s="42">
        <v>8</v>
      </c>
      <c r="AG14" s="42">
        <v>8</v>
      </c>
      <c r="AH14" s="42">
        <v>8</v>
      </c>
      <c r="AI14" s="43" t="s">
        <v>35</v>
      </c>
      <c r="AJ14" s="43" t="s">
        <v>35</v>
      </c>
      <c r="AK14" s="42">
        <v>8</v>
      </c>
      <c r="AL14" s="42">
        <v>8</v>
      </c>
      <c r="AM14" s="42">
        <v>8</v>
      </c>
      <c r="AN14" s="42">
        <v>8</v>
      </c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1" t="s">
        <v>36</v>
      </c>
      <c r="BD14" s="44"/>
      <c r="BE14" s="45"/>
      <c r="BF14" s="44"/>
      <c r="BG14" s="45"/>
      <c r="BH14" s="46"/>
      <c r="BI14" s="46"/>
      <c r="BJ14" s="46"/>
    </row>
    <row r="15" spans="1:63" ht="21" customHeight="1" x14ac:dyDescent="0.3">
      <c r="A15" s="34"/>
      <c r="B15" s="35" t="s">
        <v>52</v>
      </c>
      <c r="C15" s="36" t="s">
        <v>28</v>
      </c>
      <c r="D15" s="36" t="s">
        <v>39</v>
      </c>
      <c r="E15" s="35" t="s">
        <v>40</v>
      </c>
      <c r="F15" s="37" t="s">
        <v>53</v>
      </c>
      <c r="G15" s="38" t="s">
        <v>54</v>
      </c>
      <c r="H15" s="36" t="s">
        <v>55</v>
      </c>
      <c r="I15" s="35" t="s">
        <v>44</v>
      </c>
      <c r="J15" s="47" t="s">
        <v>37</v>
      </c>
      <c r="K15" s="40"/>
      <c r="L15" s="48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41"/>
      <c r="BD15" s="44"/>
      <c r="BE15" s="45"/>
      <c r="BF15" s="44"/>
      <c r="BG15" s="45"/>
      <c r="BH15" s="46" t="e">
        <f>SUM(#REF!)</f>
        <v>#REF!</v>
      </c>
      <c r="BI15" s="46"/>
      <c r="BJ15" s="53" t="e">
        <f>SUBTOTAL(9,BH15:BI15)</f>
        <v>#REF!</v>
      </c>
      <c r="BK15" s="10" t="e">
        <f>+BH15+BI15-BJ15</f>
        <v>#REF!</v>
      </c>
    </row>
    <row r="16" spans="1:63" ht="21" customHeight="1" x14ac:dyDescent="0.3">
      <c r="B16" s="35" t="s">
        <v>52</v>
      </c>
      <c r="C16" s="36" t="s">
        <v>28</v>
      </c>
      <c r="D16" s="36" t="s">
        <v>56</v>
      </c>
      <c r="E16" s="35" t="s">
        <v>40</v>
      </c>
      <c r="F16" s="37" t="s">
        <v>57</v>
      </c>
      <c r="G16" s="38" t="s">
        <v>58</v>
      </c>
      <c r="H16" s="36" t="s">
        <v>59</v>
      </c>
      <c r="I16" s="35" t="s">
        <v>60</v>
      </c>
      <c r="J16" s="40" t="s">
        <v>15</v>
      </c>
      <c r="K16" s="40">
        <f>COUNT(#REF!)</f>
        <v>0</v>
      </c>
      <c r="L16" s="41" t="s">
        <v>61</v>
      </c>
      <c r="M16" s="64" t="s">
        <v>35</v>
      </c>
      <c r="N16" s="65">
        <v>8</v>
      </c>
      <c r="O16" s="65">
        <v>8</v>
      </c>
      <c r="P16" s="65">
        <v>8</v>
      </c>
      <c r="Q16" s="65">
        <v>8</v>
      </c>
      <c r="R16" s="65">
        <v>8</v>
      </c>
      <c r="S16" s="64" t="s">
        <v>35</v>
      </c>
      <c r="T16" s="64" t="s">
        <v>35</v>
      </c>
      <c r="U16" s="64" t="s">
        <v>35</v>
      </c>
      <c r="V16" s="65">
        <v>8</v>
      </c>
      <c r="W16" s="65">
        <v>8</v>
      </c>
      <c r="X16" s="65">
        <v>8</v>
      </c>
      <c r="Y16" s="65">
        <v>8</v>
      </c>
      <c r="Z16" s="65">
        <v>8</v>
      </c>
      <c r="AA16" s="64" t="s">
        <v>35</v>
      </c>
      <c r="AB16" s="64" t="s">
        <v>35</v>
      </c>
      <c r="AC16" s="64" t="s">
        <v>35</v>
      </c>
      <c r="AD16" s="65">
        <v>8</v>
      </c>
      <c r="AE16" s="65">
        <v>8</v>
      </c>
      <c r="AF16" s="65">
        <v>8</v>
      </c>
      <c r="AG16" s="65">
        <v>8</v>
      </c>
      <c r="AH16" s="65">
        <v>8</v>
      </c>
      <c r="AI16" s="64" t="s">
        <v>35</v>
      </c>
      <c r="AJ16" s="64" t="s">
        <v>35</v>
      </c>
      <c r="AK16" s="64" t="s">
        <v>35</v>
      </c>
      <c r="AL16" s="65">
        <v>8</v>
      </c>
      <c r="AM16" s="65">
        <v>8</v>
      </c>
      <c r="AN16" s="65">
        <v>8</v>
      </c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41" t="s">
        <v>36</v>
      </c>
      <c r="BD16" s="50"/>
      <c r="BE16" s="51"/>
      <c r="BF16" s="44"/>
      <c r="BG16" s="45"/>
      <c r="BH16" s="46"/>
      <c r="BI16" s="46"/>
      <c r="BJ16" s="46"/>
    </row>
    <row r="17" spans="1:63" ht="21" customHeight="1" x14ac:dyDescent="0.3">
      <c r="B17" s="35" t="s">
        <v>52</v>
      </c>
      <c r="C17" s="36" t="s">
        <v>28</v>
      </c>
      <c r="D17" s="36" t="s">
        <v>56</v>
      </c>
      <c r="E17" s="35" t="s">
        <v>40</v>
      </c>
      <c r="F17" s="37" t="s">
        <v>57</v>
      </c>
      <c r="G17" s="38" t="s">
        <v>58</v>
      </c>
      <c r="H17" s="36" t="s">
        <v>59</v>
      </c>
      <c r="I17" s="35" t="s">
        <v>60</v>
      </c>
      <c r="J17" s="47" t="s">
        <v>37</v>
      </c>
      <c r="K17" s="40"/>
      <c r="L17" s="48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41"/>
      <c r="BD17" s="44"/>
      <c r="BE17" s="45"/>
      <c r="BF17" s="44"/>
      <c r="BG17" s="45"/>
      <c r="BH17" s="46" t="e">
        <f>SUM(#REF!)</f>
        <v>#REF!</v>
      </c>
      <c r="BI17" s="46"/>
      <c r="BJ17" s="53" t="e">
        <f>SUBTOTAL(9,BH17:BI17)</f>
        <v>#REF!</v>
      </c>
      <c r="BK17" s="10" t="e">
        <f>+BH17+BI17-BJ17</f>
        <v>#REF!</v>
      </c>
    </row>
    <row r="18" spans="1:63" ht="21" customHeight="1" x14ac:dyDescent="0.3">
      <c r="A18" s="34"/>
      <c r="B18" s="35" t="s">
        <v>52</v>
      </c>
      <c r="C18" s="36" t="s">
        <v>28</v>
      </c>
      <c r="D18" s="36" t="s">
        <v>56</v>
      </c>
      <c r="E18" s="35" t="s">
        <v>40</v>
      </c>
      <c r="F18" s="37" t="s">
        <v>62</v>
      </c>
      <c r="G18" s="38" t="s">
        <v>63</v>
      </c>
      <c r="H18" s="57" t="s">
        <v>32</v>
      </c>
      <c r="I18" s="35" t="s">
        <v>64</v>
      </c>
      <c r="J18" s="40" t="s">
        <v>15</v>
      </c>
      <c r="K18" s="40">
        <f>COUNT(#REF!)</f>
        <v>0</v>
      </c>
      <c r="L18" s="41" t="s">
        <v>34</v>
      </c>
      <c r="M18" s="66">
        <v>4</v>
      </c>
      <c r="N18" s="66">
        <v>4</v>
      </c>
      <c r="O18" s="66">
        <v>4</v>
      </c>
      <c r="P18" s="66">
        <v>5</v>
      </c>
      <c r="Q18" s="66">
        <v>5</v>
      </c>
      <c r="R18" s="66">
        <v>5</v>
      </c>
      <c r="S18" s="64" t="s">
        <v>35</v>
      </c>
      <c r="T18" s="64" t="s">
        <v>35</v>
      </c>
      <c r="U18" s="64" t="s">
        <v>35</v>
      </c>
      <c r="V18" s="66">
        <v>4</v>
      </c>
      <c r="W18" s="66">
        <v>4</v>
      </c>
      <c r="X18" s="66">
        <v>4</v>
      </c>
      <c r="Y18" s="66">
        <v>5</v>
      </c>
      <c r="Z18" s="66">
        <v>5</v>
      </c>
      <c r="AA18" s="66">
        <v>5</v>
      </c>
      <c r="AB18" s="64" t="s">
        <v>35</v>
      </c>
      <c r="AC18" s="64" t="s">
        <v>35</v>
      </c>
      <c r="AD18" s="64" t="s">
        <v>35</v>
      </c>
      <c r="AE18" s="66">
        <v>4</v>
      </c>
      <c r="AF18" s="66">
        <v>4</v>
      </c>
      <c r="AG18" s="66">
        <v>4</v>
      </c>
      <c r="AH18" s="66">
        <v>5</v>
      </c>
      <c r="AI18" s="66">
        <v>5</v>
      </c>
      <c r="AJ18" s="66">
        <v>5</v>
      </c>
      <c r="AK18" s="64" t="s">
        <v>35</v>
      </c>
      <c r="AL18" s="64" t="s">
        <v>35</v>
      </c>
      <c r="AM18" s="64" t="s">
        <v>35</v>
      </c>
      <c r="AN18" s="66">
        <v>4</v>
      </c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41" t="s">
        <v>65</v>
      </c>
      <c r="BD18" s="44"/>
      <c r="BE18" s="45"/>
      <c r="BF18" s="44"/>
      <c r="BG18" s="45"/>
      <c r="BH18" s="46"/>
      <c r="BI18" s="46"/>
      <c r="BJ18" s="46"/>
    </row>
    <row r="19" spans="1:63" ht="21" customHeight="1" x14ac:dyDescent="0.3">
      <c r="A19" s="34"/>
      <c r="B19" s="35" t="s">
        <v>52</v>
      </c>
      <c r="C19" s="36" t="s">
        <v>28</v>
      </c>
      <c r="D19" s="36" t="s">
        <v>56</v>
      </c>
      <c r="E19" s="35" t="s">
        <v>40</v>
      </c>
      <c r="F19" s="37" t="s">
        <v>62</v>
      </c>
      <c r="G19" s="38" t="s">
        <v>63</v>
      </c>
      <c r="H19" s="36" t="s">
        <v>32</v>
      </c>
      <c r="I19" s="35" t="s">
        <v>64</v>
      </c>
      <c r="J19" s="47" t="s">
        <v>37</v>
      </c>
      <c r="K19" s="40"/>
      <c r="L19" s="48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41"/>
      <c r="BD19" s="44"/>
      <c r="BE19" s="45"/>
      <c r="BF19" s="67"/>
      <c r="BG19" s="41"/>
      <c r="BH19" s="46" t="e">
        <f>SUM(#REF!)</f>
        <v>#REF!</v>
      </c>
      <c r="BI19" s="46"/>
      <c r="BJ19" s="53" t="e">
        <f>SUBTOTAL(9,BH19:BI19)</f>
        <v>#REF!</v>
      </c>
      <c r="BK19" s="10" t="e">
        <f>+BH19+BI19-BJ19</f>
        <v>#REF!</v>
      </c>
    </row>
    <row r="20" spans="1:63" ht="21" customHeight="1" x14ac:dyDescent="0.3">
      <c r="A20" s="68"/>
      <c r="B20" s="69" t="s">
        <v>66</v>
      </c>
      <c r="C20" s="36" t="s">
        <v>28</v>
      </c>
      <c r="D20" s="70" t="s">
        <v>67</v>
      </c>
      <c r="E20" s="35" t="s">
        <v>40</v>
      </c>
      <c r="F20" s="71" t="s">
        <v>68</v>
      </c>
      <c r="G20" s="60" t="s">
        <v>69</v>
      </c>
      <c r="H20" s="57" t="s">
        <v>59</v>
      </c>
      <c r="I20" s="35" t="s">
        <v>60</v>
      </c>
      <c r="J20" s="40" t="s">
        <v>15</v>
      </c>
      <c r="K20" s="40">
        <f>COUNT(#REF!)</f>
        <v>0</v>
      </c>
      <c r="L20" s="41" t="s">
        <v>61</v>
      </c>
      <c r="M20" s="65">
        <v>8</v>
      </c>
      <c r="N20" s="65">
        <v>8</v>
      </c>
      <c r="O20" s="65">
        <v>8</v>
      </c>
      <c r="P20" s="65">
        <v>8</v>
      </c>
      <c r="Q20" s="65">
        <v>8</v>
      </c>
      <c r="R20" s="64" t="s">
        <v>35</v>
      </c>
      <c r="S20" s="64" t="s">
        <v>35</v>
      </c>
      <c r="T20" s="65">
        <v>8</v>
      </c>
      <c r="U20" s="65">
        <v>8</v>
      </c>
      <c r="V20" s="65">
        <v>8</v>
      </c>
      <c r="W20" s="65">
        <v>8</v>
      </c>
      <c r="X20" s="65">
        <v>8</v>
      </c>
      <c r="Y20" s="64" t="s">
        <v>35</v>
      </c>
      <c r="Z20" s="64" t="s">
        <v>35</v>
      </c>
      <c r="AA20" s="65">
        <v>8</v>
      </c>
      <c r="AB20" s="65">
        <v>8</v>
      </c>
      <c r="AC20" s="65">
        <v>8</v>
      </c>
      <c r="AD20" s="65">
        <v>8</v>
      </c>
      <c r="AE20" s="65">
        <v>8</v>
      </c>
      <c r="AF20" s="64" t="s">
        <v>35</v>
      </c>
      <c r="AG20" s="64" t="s">
        <v>35</v>
      </c>
      <c r="AH20" s="65">
        <v>8</v>
      </c>
      <c r="AI20" s="65">
        <v>8</v>
      </c>
      <c r="AJ20" s="65">
        <v>8</v>
      </c>
      <c r="AK20" s="65">
        <v>8</v>
      </c>
      <c r="AL20" s="65">
        <v>8</v>
      </c>
      <c r="AM20" s="64" t="s">
        <v>35</v>
      </c>
      <c r="AN20" s="64" t="s">
        <v>35</v>
      </c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41" t="s">
        <v>36</v>
      </c>
      <c r="BD20" s="44"/>
      <c r="BE20" s="45"/>
      <c r="BF20" s="50"/>
      <c r="BG20" s="51"/>
      <c r="BH20" s="46"/>
      <c r="BI20" s="46"/>
      <c r="BJ20" s="46"/>
    </row>
    <row r="21" spans="1:63" ht="21" customHeight="1" x14ac:dyDescent="0.3">
      <c r="A21" s="68"/>
      <c r="B21" s="69" t="s">
        <v>66</v>
      </c>
      <c r="C21" s="36" t="s">
        <v>28</v>
      </c>
      <c r="D21" s="70" t="s">
        <v>67</v>
      </c>
      <c r="E21" s="35" t="s">
        <v>40</v>
      </c>
      <c r="F21" s="71" t="s">
        <v>68</v>
      </c>
      <c r="G21" s="60" t="s">
        <v>69</v>
      </c>
      <c r="H21" s="36" t="s">
        <v>59</v>
      </c>
      <c r="I21" s="35" t="s">
        <v>60</v>
      </c>
      <c r="J21" s="47" t="s">
        <v>37</v>
      </c>
      <c r="K21" s="40"/>
      <c r="L21" s="41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41"/>
      <c r="BD21" s="44"/>
      <c r="BE21" s="45"/>
      <c r="BF21" s="50"/>
      <c r="BG21" s="51"/>
      <c r="BH21" s="46" t="e">
        <f>SUM(#REF!)</f>
        <v>#REF!</v>
      </c>
      <c r="BI21" s="46"/>
      <c r="BJ21" s="53" t="e">
        <f>SUBTOTAL(9,BH21:BI21)</f>
        <v>#REF!</v>
      </c>
      <c r="BK21" s="10" t="e">
        <f>+BH21+BI21-BJ21</f>
        <v>#REF!</v>
      </c>
    </row>
    <row r="22" spans="1:63" ht="21" customHeight="1" x14ac:dyDescent="0.3">
      <c r="B22" s="69" t="s">
        <v>66</v>
      </c>
      <c r="C22" s="36" t="s">
        <v>28</v>
      </c>
      <c r="D22" s="70" t="s">
        <v>67</v>
      </c>
      <c r="E22" s="35" t="s">
        <v>40</v>
      </c>
      <c r="F22" s="72" t="s">
        <v>70</v>
      </c>
      <c r="G22" s="73" t="s">
        <v>71</v>
      </c>
      <c r="H22" s="74" t="s">
        <v>72</v>
      </c>
      <c r="I22" s="35" t="s">
        <v>44</v>
      </c>
      <c r="J22" s="40" t="s">
        <v>15</v>
      </c>
      <c r="K22" s="40">
        <f>COUNT(#REF!)</f>
        <v>0</v>
      </c>
      <c r="L22" s="41" t="s">
        <v>61</v>
      </c>
      <c r="M22" s="75">
        <v>5</v>
      </c>
      <c r="N22" s="76" t="s">
        <v>35</v>
      </c>
      <c r="O22" s="76" t="s">
        <v>35</v>
      </c>
      <c r="P22" s="77">
        <v>4</v>
      </c>
      <c r="Q22" s="77">
        <v>4</v>
      </c>
      <c r="R22" s="77">
        <v>4</v>
      </c>
      <c r="S22" s="77">
        <v>4</v>
      </c>
      <c r="T22" s="77">
        <v>5</v>
      </c>
      <c r="U22" s="77">
        <v>5</v>
      </c>
      <c r="V22" s="75">
        <v>5</v>
      </c>
      <c r="W22" s="75">
        <v>5</v>
      </c>
      <c r="X22" s="76" t="s">
        <v>35</v>
      </c>
      <c r="Y22" s="76" t="s">
        <v>35</v>
      </c>
      <c r="Z22" s="77">
        <v>4</v>
      </c>
      <c r="AA22" s="77">
        <v>4</v>
      </c>
      <c r="AB22" s="77">
        <v>4</v>
      </c>
      <c r="AC22" s="77">
        <v>4</v>
      </c>
      <c r="AD22" s="77">
        <v>5</v>
      </c>
      <c r="AE22" s="77">
        <v>5</v>
      </c>
      <c r="AF22" s="75">
        <v>5</v>
      </c>
      <c r="AG22" s="75">
        <v>5</v>
      </c>
      <c r="AH22" s="76" t="s">
        <v>35</v>
      </c>
      <c r="AI22" s="76" t="s">
        <v>35</v>
      </c>
      <c r="AJ22" s="77">
        <v>4</v>
      </c>
      <c r="AK22" s="77">
        <v>4</v>
      </c>
      <c r="AL22" s="77">
        <v>4</v>
      </c>
      <c r="AM22" s="77">
        <v>4</v>
      </c>
      <c r="AN22" s="77">
        <v>5</v>
      </c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7" t="s">
        <v>73</v>
      </c>
      <c r="BD22" s="44"/>
      <c r="BE22" s="45"/>
      <c r="BF22" s="50"/>
      <c r="BG22" s="51"/>
      <c r="BH22" s="46"/>
      <c r="BI22" s="46"/>
      <c r="BJ22" s="78"/>
    </row>
    <row r="23" spans="1:63" ht="21" customHeight="1" x14ac:dyDescent="0.3">
      <c r="B23" s="69" t="s">
        <v>66</v>
      </c>
      <c r="C23" s="36" t="s">
        <v>28</v>
      </c>
      <c r="D23" s="70" t="s">
        <v>67</v>
      </c>
      <c r="E23" s="35" t="s">
        <v>40</v>
      </c>
      <c r="F23" s="72" t="s">
        <v>70</v>
      </c>
      <c r="G23" s="73" t="s">
        <v>71</v>
      </c>
      <c r="H23" s="74" t="s">
        <v>72</v>
      </c>
      <c r="I23" s="35" t="s">
        <v>44</v>
      </c>
      <c r="J23" s="47" t="s">
        <v>37</v>
      </c>
      <c r="K23" s="40"/>
      <c r="L23" s="79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77"/>
      <c r="BD23" s="44"/>
      <c r="BE23" s="45"/>
      <c r="BF23" s="50"/>
      <c r="BG23" s="51"/>
      <c r="BH23" s="46" t="e">
        <f>SUM(#REF!)</f>
        <v>#REF!</v>
      </c>
      <c r="BI23" s="81"/>
      <c r="BJ23" s="82" t="e">
        <f>SUBTOTAL(9,BH23:BI23)</f>
        <v>#REF!</v>
      </c>
      <c r="BK23" s="10" t="e">
        <f>+BH23+BI23-BJ23</f>
        <v>#REF!</v>
      </c>
    </row>
    <row r="24" spans="1:63" ht="21" customHeight="1" x14ac:dyDescent="0.3">
      <c r="B24" s="69" t="s">
        <v>66</v>
      </c>
      <c r="C24" s="36" t="s">
        <v>28</v>
      </c>
      <c r="D24" s="70" t="s">
        <v>67</v>
      </c>
      <c r="E24" s="35" t="s">
        <v>40</v>
      </c>
      <c r="F24" s="83" t="s">
        <v>74</v>
      </c>
      <c r="G24" s="56" t="s">
        <v>75</v>
      </c>
      <c r="H24" s="84" t="s">
        <v>72</v>
      </c>
      <c r="I24" s="35" t="s">
        <v>44</v>
      </c>
      <c r="J24" s="40" t="s">
        <v>15</v>
      </c>
      <c r="K24" s="40">
        <f>COUNT(#REF!)</f>
        <v>0</v>
      </c>
      <c r="L24" s="41" t="s">
        <v>34</v>
      </c>
      <c r="M24" s="77">
        <v>5</v>
      </c>
      <c r="N24" s="77">
        <v>5</v>
      </c>
      <c r="O24" s="77">
        <v>5</v>
      </c>
      <c r="P24" s="76" t="s">
        <v>35</v>
      </c>
      <c r="Q24" s="76" t="s">
        <v>35</v>
      </c>
      <c r="R24" s="77">
        <v>4</v>
      </c>
      <c r="S24" s="77">
        <v>4</v>
      </c>
      <c r="T24" s="77">
        <v>4</v>
      </c>
      <c r="U24" s="77">
        <v>4</v>
      </c>
      <c r="V24" s="77">
        <v>5</v>
      </c>
      <c r="W24" s="77">
        <v>5</v>
      </c>
      <c r="X24" s="77">
        <v>5</v>
      </c>
      <c r="Y24" s="77">
        <v>5</v>
      </c>
      <c r="Z24" s="76" t="s">
        <v>35</v>
      </c>
      <c r="AA24" s="76" t="s">
        <v>35</v>
      </c>
      <c r="AB24" s="77">
        <v>4</v>
      </c>
      <c r="AC24" s="77">
        <v>4</v>
      </c>
      <c r="AD24" s="77">
        <v>4</v>
      </c>
      <c r="AE24" s="77">
        <v>4</v>
      </c>
      <c r="AF24" s="77">
        <v>5</v>
      </c>
      <c r="AG24" s="77">
        <v>5</v>
      </c>
      <c r="AH24" s="77">
        <v>5</v>
      </c>
      <c r="AI24" s="77">
        <v>5</v>
      </c>
      <c r="AJ24" s="76" t="s">
        <v>35</v>
      </c>
      <c r="AK24" s="76" t="s">
        <v>35</v>
      </c>
      <c r="AL24" s="77">
        <v>4</v>
      </c>
      <c r="AM24" s="77">
        <v>4</v>
      </c>
      <c r="AN24" s="77">
        <v>4</v>
      </c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85" t="s">
        <v>73</v>
      </c>
      <c r="BE24" s="45"/>
      <c r="BF24" s="50"/>
      <c r="BG24" s="51"/>
      <c r="BH24" s="46"/>
      <c r="BI24" s="46"/>
      <c r="BJ24" s="46"/>
    </row>
    <row r="25" spans="1:63" ht="21" customHeight="1" x14ac:dyDescent="0.3">
      <c r="B25" s="69" t="s">
        <v>66</v>
      </c>
      <c r="C25" s="36" t="s">
        <v>28</v>
      </c>
      <c r="D25" s="70" t="s">
        <v>67</v>
      </c>
      <c r="E25" s="35" t="s">
        <v>40</v>
      </c>
      <c r="F25" s="83" t="s">
        <v>74</v>
      </c>
      <c r="G25" s="56" t="s">
        <v>75</v>
      </c>
      <c r="H25" s="86" t="s">
        <v>72</v>
      </c>
      <c r="I25" s="35" t="s">
        <v>44</v>
      </c>
      <c r="J25" s="47" t="s">
        <v>37</v>
      </c>
      <c r="K25" s="40"/>
      <c r="L25" s="79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77"/>
      <c r="BD25" s="44"/>
      <c r="BE25" s="45"/>
      <c r="BF25" s="50"/>
      <c r="BG25" s="51"/>
      <c r="BH25" s="46" t="e">
        <f>SUM(#REF!)</f>
        <v>#REF!</v>
      </c>
      <c r="BI25" s="46"/>
      <c r="BJ25" s="53" t="e">
        <f>SUBTOTAL(9,BH25:BI25)</f>
        <v>#REF!</v>
      </c>
      <c r="BK25" s="10" t="e">
        <f>+BH25+BI25-BJ25</f>
        <v>#REF!</v>
      </c>
    </row>
    <row r="26" spans="1:63" ht="21" customHeight="1" x14ac:dyDescent="0.3">
      <c r="B26" s="69" t="s">
        <v>66</v>
      </c>
      <c r="C26" s="36" t="s">
        <v>28</v>
      </c>
      <c r="D26" s="70" t="s">
        <v>67</v>
      </c>
      <c r="E26" s="35" t="s">
        <v>40</v>
      </c>
      <c r="F26" s="83" t="s">
        <v>76</v>
      </c>
      <c r="G26" s="56" t="s">
        <v>77</v>
      </c>
      <c r="H26" s="84" t="s">
        <v>72</v>
      </c>
      <c r="I26" s="35" t="s">
        <v>44</v>
      </c>
      <c r="J26" s="40" t="s">
        <v>15</v>
      </c>
      <c r="K26" s="40">
        <f>COUNT(#REF!)</f>
        <v>0</v>
      </c>
      <c r="L26" s="41" t="s">
        <v>34</v>
      </c>
      <c r="M26" s="77">
        <v>4</v>
      </c>
      <c r="N26" s="77">
        <v>5</v>
      </c>
      <c r="O26" s="77">
        <v>5</v>
      </c>
      <c r="P26" s="77">
        <v>5</v>
      </c>
      <c r="Q26" s="77">
        <v>5</v>
      </c>
      <c r="R26" s="76" t="s">
        <v>35</v>
      </c>
      <c r="S26" s="76" t="s">
        <v>35</v>
      </c>
      <c r="T26" s="77">
        <v>4</v>
      </c>
      <c r="U26" s="77">
        <v>4</v>
      </c>
      <c r="V26" s="77">
        <v>4</v>
      </c>
      <c r="W26" s="77">
        <v>4</v>
      </c>
      <c r="X26" s="77">
        <v>5</v>
      </c>
      <c r="Y26" s="77">
        <v>5</v>
      </c>
      <c r="Z26" s="77">
        <v>5</v>
      </c>
      <c r="AA26" s="77">
        <v>5</v>
      </c>
      <c r="AB26" s="76" t="s">
        <v>35</v>
      </c>
      <c r="AC26" s="76" t="s">
        <v>35</v>
      </c>
      <c r="AD26" s="77">
        <v>4</v>
      </c>
      <c r="AE26" s="77">
        <v>4</v>
      </c>
      <c r="AF26" s="77">
        <v>4</v>
      </c>
      <c r="AG26" s="77">
        <v>4</v>
      </c>
      <c r="AH26" s="77">
        <v>5</v>
      </c>
      <c r="AI26" s="77">
        <v>5</v>
      </c>
      <c r="AJ26" s="77">
        <v>5</v>
      </c>
      <c r="AK26" s="77">
        <v>5</v>
      </c>
      <c r="AL26" s="76" t="s">
        <v>35</v>
      </c>
      <c r="AM26" s="76" t="s">
        <v>35</v>
      </c>
      <c r="AN26" s="77">
        <v>4</v>
      </c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85" t="s">
        <v>73</v>
      </c>
      <c r="BD26" s="44"/>
      <c r="BE26" s="45"/>
      <c r="BF26" s="50"/>
      <c r="BG26" s="51"/>
      <c r="BH26" s="46"/>
      <c r="BI26" s="46"/>
      <c r="BJ26" s="46"/>
    </row>
    <row r="27" spans="1:63" ht="21" customHeight="1" x14ac:dyDescent="0.3">
      <c r="B27" s="69" t="s">
        <v>66</v>
      </c>
      <c r="C27" s="36" t="s">
        <v>28</v>
      </c>
      <c r="D27" s="70" t="s">
        <v>67</v>
      </c>
      <c r="E27" s="35" t="s">
        <v>40</v>
      </c>
      <c r="F27" s="83" t="s">
        <v>76</v>
      </c>
      <c r="G27" s="56" t="s">
        <v>77</v>
      </c>
      <c r="H27" s="86" t="s">
        <v>72</v>
      </c>
      <c r="I27" s="35" t="s">
        <v>44</v>
      </c>
      <c r="J27" s="47" t="s">
        <v>37</v>
      </c>
      <c r="K27" s="40"/>
      <c r="L27" s="79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77"/>
      <c r="BD27" s="44"/>
      <c r="BE27" s="45"/>
      <c r="BF27" s="50"/>
      <c r="BG27" s="51"/>
      <c r="BH27" s="46" t="e">
        <f>SUM(#REF!)</f>
        <v>#REF!</v>
      </c>
      <c r="BI27" s="46"/>
      <c r="BJ27" s="53" t="e">
        <f>SUBTOTAL(9,BH27:BI27)</f>
        <v>#REF!</v>
      </c>
      <c r="BK27" s="10" t="e">
        <f>+BH27+BI27-BJ27</f>
        <v>#REF!</v>
      </c>
    </row>
    <row r="28" spans="1:63" ht="21" customHeight="1" x14ac:dyDescent="0.3">
      <c r="B28" s="69" t="s">
        <v>66</v>
      </c>
      <c r="C28" s="36" t="s">
        <v>28</v>
      </c>
      <c r="D28" s="70" t="s">
        <v>67</v>
      </c>
      <c r="E28" s="35" t="s">
        <v>40</v>
      </c>
      <c r="F28" s="83" t="s">
        <v>78</v>
      </c>
      <c r="G28" s="56" t="s">
        <v>79</v>
      </c>
      <c r="H28" s="84" t="s">
        <v>72</v>
      </c>
      <c r="I28" s="35" t="s">
        <v>44</v>
      </c>
      <c r="J28" s="40" t="s">
        <v>15</v>
      </c>
      <c r="K28" s="40">
        <f>COUNT(#REF!)</f>
        <v>0</v>
      </c>
      <c r="L28" s="41" t="s">
        <v>34</v>
      </c>
      <c r="M28" s="87">
        <v>4</v>
      </c>
      <c r="N28" s="87">
        <v>4</v>
      </c>
      <c r="O28" s="87">
        <v>4</v>
      </c>
      <c r="P28" s="87">
        <v>5</v>
      </c>
      <c r="Q28" s="87">
        <v>5</v>
      </c>
      <c r="R28" s="87">
        <v>5</v>
      </c>
      <c r="S28" s="87">
        <v>5</v>
      </c>
      <c r="T28" s="76" t="s">
        <v>35</v>
      </c>
      <c r="U28" s="76" t="s">
        <v>35</v>
      </c>
      <c r="V28" s="87">
        <v>4</v>
      </c>
      <c r="W28" s="87">
        <v>4</v>
      </c>
      <c r="X28" s="87">
        <v>4</v>
      </c>
      <c r="Y28" s="87">
        <v>4</v>
      </c>
      <c r="Z28" s="87">
        <v>5</v>
      </c>
      <c r="AA28" s="87">
        <v>5</v>
      </c>
      <c r="AB28" s="87">
        <v>5</v>
      </c>
      <c r="AC28" s="87">
        <v>5</v>
      </c>
      <c r="AD28" s="76" t="s">
        <v>35</v>
      </c>
      <c r="AE28" s="76" t="s">
        <v>35</v>
      </c>
      <c r="AF28" s="87">
        <v>4</v>
      </c>
      <c r="AG28" s="87">
        <v>4</v>
      </c>
      <c r="AH28" s="87">
        <v>4</v>
      </c>
      <c r="AI28" s="87">
        <v>4</v>
      </c>
      <c r="AJ28" s="87">
        <v>5</v>
      </c>
      <c r="AK28" s="87">
        <v>5</v>
      </c>
      <c r="AL28" s="87">
        <v>5</v>
      </c>
      <c r="AM28" s="87">
        <v>5</v>
      </c>
      <c r="AN28" s="76" t="s">
        <v>35</v>
      </c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85" t="s">
        <v>73</v>
      </c>
      <c r="BD28" s="44"/>
      <c r="BE28" s="45"/>
      <c r="BF28" s="50"/>
      <c r="BG28" s="51"/>
      <c r="BH28" s="46"/>
      <c r="BI28" s="46"/>
      <c r="BJ28" s="46"/>
    </row>
    <row r="29" spans="1:63" ht="21" customHeight="1" x14ac:dyDescent="0.3">
      <c r="B29" s="69" t="s">
        <v>66</v>
      </c>
      <c r="C29" s="36" t="s">
        <v>28</v>
      </c>
      <c r="D29" s="70" t="s">
        <v>67</v>
      </c>
      <c r="E29" s="35" t="s">
        <v>40</v>
      </c>
      <c r="F29" s="83" t="s">
        <v>78</v>
      </c>
      <c r="G29" s="56" t="s">
        <v>79</v>
      </c>
      <c r="H29" s="86" t="s">
        <v>72</v>
      </c>
      <c r="I29" s="35" t="s">
        <v>44</v>
      </c>
      <c r="J29" s="47" t="s">
        <v>37</v>
      </c>
      <c r="K29" s="40"/>
      <c r="L29" s="79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7"/>
      <c r="BD29" s="44"/>
      <c r="BE29" s="45"/>
      <c r="BF29" s="50"/>
      <c r="BG29" s="51"/>
      <c r="BH29" s="46" t="e">
        <f>SUM(#REF!)</f>
        <v>#REF!</v>
      </c>
      <c r="BI29" s="46"/>
      <c r="BJ29" s="53" t="e">
        <f>SUBTOTAL(9,BH29:BI29)</f>
        <v>#REF!</v>
      </c>
      <c r="BK29" s="10" t="e">
        <f>+BH29+BI29-BJ29</f>
        <v>#REF!</v>
      </c>
    </row>
    <row r="30" spans="1:63" ht="21" customHeight="1" x14ac:dyDescent="0.3">
      <c r="B30" s="69" t="s">
        <v>66</v>
      </c>
      <c r="C30" s="36" t="s">
        <v>28</v>
      </c>
      <c r="D30" s="70" t="s">
        <v>67</v>
      </c>
      <c r="E30" s="35" t="s">
        <v>40</v>
      </c>
      <c r="F30" s="83" t="s">
        <v>80</v>
      </c>
      <c r="G30" s="56" t="s">
        <v>81</v>
      </c>
      <c r="H30" s="84" t="s">
        <v>72</v>
      </c>
      <c r="I30" s="35" t="s">
        <v>44</v>
      </c>
      <c r="J30" s="40" t="s">
        <v>15</v>
      </c>
      <c r="K30" s="40">
        <f>COUNT(#REF!)</f>
        <v>0</v>
      </c>
      <c r="L30" s="41" t="s">
        <v>34</v>
      </c>
      <c r="M30" s="76" t="s">
        <v>35</v>
      </c>
      <c r="N30" s="77">
        <v>4</v>
      </c>
      <c r="O30" s="77">
        <v>4</v>
      </c>
      <c r="P30" s="77">
        <v>4</v>
      </c>
      <c r="Q30" s="77">
        <v>4</v>
      </c>
      <c r="R30" s="77">
        <v>5</v>
      </c>
      <c r="S30" s="77">
        <v>5</v>
      </c>
      <c r="T30" s="77">
        <v>5</v>
      </c>
      <c r="U30" s="77">
        <v>5</v>
      </c>
      <c r="V30" s="76" t="s">
        <v>35</v>
      </c>
      <c r="W30" s="76" t="s">
        <v>35</v>
      </c>
      <c r="X30" s="77" t="s">
        <v>82</v>
      </c>
      <c r="Y30" s="77" t="s">
        <v>83</v>
      </c>
      <c r="Z30" s="77" t="s">
        <v>83</v>
      </c>
      <c r="AA30" s="77" t="s">
        <v>83</v>
      </c>
      <c r="AB30" s="77" t="s">
        <v>83</v>
      </c>
      <c r="AC30" s="77" t="s">
        <v>83</v>
      </c>
      <c r="AD30" s="77" t="s">
        <v>83</v>
      </c>
      <c r="AE30" s="77" t="s">
        <v>83</v>
      </c>
      <c r="AF30" s="77" t="s">
        <v>83</v>
      </c>
      <c r="AG30" s="77" t="s">
        <v>83</v>
      </c>
      <c r="AH30" s="77" t="s">
        <v>83</v>
      </c>
      <c r="AI30" s="77" t="s">
        <v>83</v>
      </c>
      <c r="AJ30" s="77" t="s">
        <v>83</v>
      </c>
      <c r="AK30" s="77" t="s">
        <v>83</v>
      </c>
      <c r="AL30" s="77" t="s">
        <v>83</v>
      </c>
      <c r="AM30" s="77" t="s">
        <v>83</v>
      </c>
      <c r="AN30" s="77" t="s">
        <v>83</v>
      </c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85" t="s">
        <v>73</v>
      </c>
      <c r="BD30" s="88" t="s">
        <v>84</v>
      </c>
      <c r="BE30" s="68" t="s">
        <v>85</v>
      </c>
      <c r="BF30" s="88"/>
      <c r="BG30" s="68"/>
      <c r="BH30" s="46"/>
      <c r="BI30" s="46"/>
      <c r="BJ30" s="89"/>
    </row>
    <row r="31" spans="1:63" ht="21" customHeight="1" x14ac:dyDescent="0.3">
      <c r="B31" s="69" t="s">
        <v>66</v>
      </c>
      <c r="C31" s="36" t="s">
        <v>28</v>
      </c>
      <c r="D31" s="70" t="s">
        <v>67</v>
      </c>
      <c r="E31" s="35" t="s">
        <v>40</v>
      </c>
      <c r="F31" s="83" t="s">
        <v>80</v>
      </c>
      <c r="G31" s="56" t="s">
        <v>81</v>
      </c>
      <c r="H31" s="86" t="s">
        <v>72</v>
      </c>
      <c r="I31" s="35" t="s">
        <v>44</v>
      </c>
      <c r="J31" s="47" t="s">
        <v>37</v>
      </c>
      <c r="K31" s="85"/>
      <c r="L31" s="79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5"/>
      <c r="BD31" s="88"/>
      <c r="BE31" s="68"/>
      <c r="BF31" s="88"/>
      <c r="BG31" s="68"/>
      <c r="BH31" s="46" t="e">
        <f>SUM(#REF!)</f>
        <v>#REF!</v>
      </c>
      <c r="BI31" s="46"/>
      <c r="BJ31" s="53" t="e">
        <f>SUBTOTAL(9,BH31:BI31)</f>
        <v>#REF!</v>
      </c>
    </row>
    <row r="32" spans="1:63" ht="21" customHeight="1" x14ac:dyDescent="0.3">
      <c r="B32" s="90" t="s">
        <v>86</v>
      </c>
      <c r="C32" s="36" t="s">
        <v>28</v>
      </c>
      <c r="D32" s="85" t="s">
        <v>39</v>
      </c>
      <c r="E32" s="35" t="s">
        <v>40</v>
      </c>
      <c r="F32" s="91" t="s">
        <v>87</v>
      </c>
      <c r="G32" s="92" t="s">
        <v>88</v>
      </c>
      <c r="H32" s="84" t="s">
        <v>72</v>
      </c>
      <c r="I32" s="35" t="s">
        <v>44</v>
      </c>
      <c r="J32" s="40" t="s">
        <v>15</v>
      </c>
      <c r="K32" s="40">
        <f>COUNT(#REF!)</f>
        <v>0</v>
      </c>
      <c r="L32" s="41" t="s">
        <v>34</v>
      </c>
      <c r="M32" s="42">
        <v>4</v>
      </c>
      <c r="N32" s="42">
        <v>4</v>
      </c>
      <c r="O32" s="42">
        <v>4</v>
      </c>
      <c r="P32" s="42">
        <v>5</v>
      </c>
      <c r="Q32" s="42">
        <v>5</v>
      </c>
      <c r="R32" s="43" t="s">
        <v>35</v>
      </c>
      <c r="S32" s="43" t="s">
        <v>35</v>
      </c>
      <c r="T32" s="42">
        <v>4</v>
      </c>
      <c r="U32" s="42">
        <v>4</v>
      </c>
      <c r="V32" s="42">
        <v>4</v>
      </c>
      <c r="W32" s="42">
        <v>5</v>
      </c>
      <c r="X32" s="42">
        <v>5</v>
      </c>
      <c r="Y32" s="43" t="s">
        <v>35</v>
      </c>
      <c r="Z32" s="43" t="s">
        <v>35</v>
      </c>
      <c r="AA32" s="42">
        <v>4</v>
      </c>
      <c r="AB32" s="42">
        <v>4</v>
      </c>
      <c r="AC32" s="42">
        <v>4</v>
      </c>
      <c r="AD32" s="42">
        <v>5</v>
      </c>
      <c r="AE32" s="42">
        <v>5</v>
      </c>
      <c r="AF32" s="43" t="s">
        <v>35</v>
      </c>
      <c r="AG32" s="43" t="s">
        <v>35</v>
      </c>
      <c r="AH32" s="42">
        <v>4</v>
      </c>
      <c r="AI32" s="42">
        <v>4</v>
      </c>
      <c r="AJ32" s="42">
        <v>4</v>
      </c>
      <c r="AK32" s="42">
        <v>5</v>
      </c>
      <c r="AL32" s="42">
        <v>5</v>
      </c>
      <c r="AM32" s="43" t="s">
        <v>35</v>
      </c>
      <c r="AN32" s="43" t="s">
        <v>35</v>
      </c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85" t="s">
        <v>51</v>
      </c>
      <c r="BD32" s="88"/>
      <c r="BE32" s="68"/>
      <c r="BF32" s="88"/>
      <c r="BG32" s="68"/>
      <c r="BH32" s="93"/>
      <c r="BI32" s="93"/>
      <c r="BJ32" s="93"/>
    </row>
    <row r="33" spans="2:63" ht="21" customHeight="1" x14ac:dyDescent="0.3">
      <c r="B33" s="90" t="s">
        <v>86</v>
      </c>
      <c r="C33" s="36" t="s">
        <v>28</v>
      </c>
      <c r="D33" s="85" t="s">
        <v>39</v>
      </c>
      <c r="E33" s="35" t="s">
        <v>40</v>
      </c>
      <c r="F33" s="91" t="s">
        <v>87</v>
      </c>
      <c r="G33" s="92" t="s">
        <v>88</v>
      </c>
      <c r="H33" s="86" t="s">
        <v>72</v>
      </c>
      <c r="I33" s="35" t="s">
        <v>44</v>
      </c>
      <c r="J33" s="47" t="s">
        <v>37</v>
      </c>
      <c r="K33" s="40"/>
      <c r="L33" s="79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85"/>
      <c r="BD33" s="88"/>
      <c r="BE33" s="68"/>
      <c r="BF33" s="88"/>
      <c r="BG33" s="68"/>
      <c r="BH33" s="46" t="e">
        <f>SUM(#REF!)</f>
        <v>#REF!</v>
      </c>
      <c r="BI33" s="46"/>
      <c r="BJ33" s="53" t="e">
        <f>SUBTOTAL(9,BH33:BI33)</f>
        <v>#REF!</v>
      </c>
      <c r="BK33" s="10" t="e">
        <f>+BH33+BI33-BJ33</f>
        <v>#REF!</v>
      </c>
    </row>
    <row r="34" spans="2:63" ht="21" customHeight="1" x14ac:dyDescent="0.3">
      <c r="B34" s="90" t="s">
        <v>86</v>
      </c>
      <c r="C34" s="36" t="s">
        <v>28</v>
      </c>
      <c r="D34" s="85" t="s">
        <v>39</v>
      </c>
      <c r="E34" s="35" t="s">
        <v>40</v>
      </c>
      <c r="F34" s="91" t="s">
        <v>89</v>
      </c>
      <c r="G34" s="92" t="s">
        <v>90</v>
      </c>
      <c r="H34" s="84" t="s">
        <v>72</v>
      </c>
      <c r="I34" s="35" t="s">
        <v>44</v>
      </c>
      <c r="J34" s="40" t="s">
        <v>15</v>
      </c>
      <c r="K34" s="40">
        <f>COUNT(#REF!)</f>
        <v>0</v>
      </c>
      <c r="L34" s="41" t="s">
        <v>34</v>
      </c>
      <c r="M34" s="61" t="s">
        <v>47</v>
      </c>
      <c r="N34" s="42">
        <v>5</v>
      </c>
      <c r="O34" s="42">
        <v>5</v>
      </c>
      <c r="P34" s="43" t="s">
        <v>35</v>
      </c>
      <c r="Q34" s="43" t="s">
        <v>35</v>
      </c>
      <c r="R34" s="42">
        <v>4</v>
      </c>
      <c r="S34" s="42">
        <v>4</v>
      </c>
      <c r="T34" s="61" t="s">
        <v>47</v>
      </c>
      <c r="U34" s="42">
        <v>5</v>
      </c>
      <c r="V34" s="42">
        <v>5</v>
      </c>
      <c r="W34" s="43" t="s">
        <v>35</v>
      </c>
      <c r="X34" s="43" t="s">
        <v>35</v>
      </c>
      <c r="Y34" s="42">
        <v>4</v>
      </c>
      <c r="Z34" s="42">
        <v>4</v>
      </c>
      <c r="AA34" s="61" t="s">
        <v>47</v>
      </c>
      <c r="AB34" s="42">
        <v>5</v>
      </c>
      <c r="AC34" s="42">
        <v>5</v>
      </c>
      <c r="AD34" s="43" t="s">
        <v>35</v>
      </c>
      <c r="AE34" s="43" t="s">
        <v>35</v>
      </c>
      <c r="AF34" s="42">
        <v>4</v>
      </c>
      <c r="AG34" s="42">
        <v>4</v>
      </c>
      <c r="AH34" s="61" t="s">
        <v>47</v>
      </c>
      <c r="AI34" s="42">
        <v>5</v>
      </c>
      <c r="AJ34" s="42">
        <v>5</v>
      </c>
      <c r="AK34" s="43" t="s">
        <v>35</v>
      </c>
      <c r="AL34" s="43" t="s">
        <v>35</v>
      </c>
      <c r="AM34" s="42">
        <v>4</v>
      </c>
      <c r="AN34" s="42">
        <v>4</v>
      </c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85" t="s">
        <v>91</v>
      </c>
      <c r="BD34" s="88"/>
      <c r="BE34" s="68"/>
      <c r="BF34" s="88"/>
      <c r="BG34" s="68"/>
      <c r="BH34" s="93"/>
      <c r="BI34" s="93"/>
      <c r="BJ34" s="93"/>
    </row>
    <row r="35" spans="2:63" ht="21" customHeight="1" x14ac:dyDescent="0.3">
      <c r="B35" s="90" t="s">
        <v>86</v>
      </c>
      <c r="C35" s="36" t="s">
        <v>28</v>
      </c>
      <c r="D35" s="85" t="s">
        <v>39</v>
      </c>
      <c r="E35" s="35" t="s">
        <v>40</v>
      </c>
      <c r="F35" s="91" t="s">
        <v>89</v>
      </c>
      <c r="G35" s="92" t="s">
        <v>90</v>
      </c>
      <c r="H35" s="86" t="s">
        <v>72</v>
      </c>
      <c r="I35" s="35" t="s">
        <v>44</v>
      </c>
      <c r="J35" s="47" t="s">
        <v>37</v>
      </c>
      <c r="K35" s="40"/>
      <c r="L35" s="41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94"/>
      <c r="BD35" s="88"/>
      <c r="BE35" s="68"/>
      <c r="BF35" s="88"/>
      <c r="BG35" s="68"/>
      <c r="BH35" s="46" t="e">
        <f>SUM(#REF!)</f>
        <v>#REF!</v>
      </c>
      <c r="BI35" s="46"/>
      <c r="BJ35" s="53" t="e">
        <f>SUBTOTAL(9,BH35:BI35)</f>
        <v>#REF!</v>
      </c>
      <c r="BK35" s="10" t="e">
        <f>+BH35+BI35-BJ35</f>
        <v>#REF!</v>
      </c>
    </row>
    <row r="36" spans="2:63" ht="21" customHeight="1" x14ac:dyDescent="0.3">
      <c r="B36" s="90" t="s">
        <v>86</v>
      </c>
      <c r="C36" s="36" t="s">
        <v>28</v>
      </c>
      <c r="D36" s="85" t="s">
        <v>39</v>
      </c>
      <c r="E36" s="35" t="s">
        <v>40</v>
      </c>
      <c r="F36" s="91" t="s">
        <v>92</v>
      </c>
      <c r="G36" s="92" t="s">
        <v>93</v>
      </c>
      <c r="H36" s="84" t="s">
        <v>72</v>
      </c>
      <c r="I36" s="35" t="s">
        <v>44</v>
      </c>
      <c r="J36" s="40" t="s">
        <v>15</v>
      </c>
      <c r="K36" s="95">
        <f>COUNT(#REF!)</f>
        <v>0</v>
      </c>
      <c r="L36" s="96" t="s">
        <v>34</v>
      </c>
      <c r="M36" s="97">
        <v>5</v>
      </c>
      <c r="N36" s="98" t="s">
        <v>35</v>
      </c>
      <c r="O36" s="98" t="s">
        <v>35</v>
      </c>
      <c r="P36" s="97">
        <v>4</v>
      </c>
      <c r="Q36" s="97">
        <v>4</v>
      </c>
      <c r="R36" s="97">
        <v>5</v>
      </c>
      <c r="S36" s="97">
        <v>5</v>
      </c>
      <c r="T36" s="97">
        <v>5</v>
      </c>
      <c r="U36" s="98" t="s">
        <v>35</v>
      </c>
      <c r="V36" s="98" t="s">
        <v>35</v>
      </c>
      <c r="W36" s="97">
        <v>4</v>
      </c>
      <c r="X36" s="97">
        <v>4</v>
      </c>
      <c r="Y36" s="97">
        <v>5</v>
      </c>
      <c r="Z36" s="97">
        <v>5</v>
      </c>
      <c r="AA36" s="97">
        <v>5</v>
      </c>
      <c r="AB36" s="98" t="s">
        <v>35</v>
      </c>
      <c r="AC36" s="98" t="s">
        <v>35</v>
      </c>
      <c r="AD36" s="97">
        <v>4</v>
      </c>
      <c r="AE36" s="97">
        <v>4</v>
      </c>
      <c r="AF36" s="97">
        <v>5</v>
      </c>
      <c r="AG36" s="97">
        <v>5</v>
      </c>
      <c r="AH36" s="97">
        <v>5</v>
      </c>
      <c r="AI36" s="98" t="s">
        <v>35</v>
      </c>
      <c r="AJ36" s="98" t="s">
        <v>35</v>
      </c>
      <c r="AK36" s="97">
        <v>4</v>
      </c>
      <c r="AL36" s="97">
        <v>4</v>
      </c>
      <c r="AM36" s="97">
        <v>5</v>
      </c>
      <c r="AN36" s="97">
        <v>5</v>
      </c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85" t="s">
        <v>48</v>
      </c>
      <c r="BD36" s="88"/>
      <c r="BE36" s="68"/>
      <c r="BF36" s="88"/>
      <c r="BG36" s="68"/>
      <c r="BH36" s="93"/>
      <c r="BI36" s="93"/>
      <c r="BJ36" s="93"/>
    </row>
    <row r="37" spans="2:63" ht="18" customHeight="1" x14ac:dyDescent="0.3">
      <c r="B37" s="90" t="s">
        <v>86</v>
      </c>
      <c r="C37" s="36" t="s">
        <v>28</v>
      </c>
      <c r="D37" s="85" t="s">
        <v>39</v>
      </c>
      <c r="E37" s="35" t="s">
        <v>40</v>
      </c>
      <c r="F37" s="91" t="s">
        <v>92</v>
      </c>
      <c r="G37" s="92" t="s">
        <v>93</v>
      </c>
      <c r="H37" s="86" t="s">
        <v>72</v>
      </c>
      <c r="I37" s="35" t="s">
        <v>44</v>
      </c>
      <c r="J37" s="47" t="s">
        <v>37</v>
      </c>
      <c r="K37" s="85"/>
      <c r="L37" s="99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85"/>
      <c r="BD37" s="88"/>
      <c r="BE37" s="68"/>
      <c r="BF37" s="88"/>
      <c r="BG37" s="68"/>
      <c r="BH37" s="46" t="e">
        <f>SUM(#REF!)</f>
        <v>#REF!</v>
      </c>
      <c r="BI37" s="46"/>
      <c r="BJ37" s="53" t="e">
        <f>SUBTOTAL(9,BH37:BI37)</f>
        <v>#REF!</v>
      </c>
      <c r="BK37" s="10" t="e">
        <f>+BH37+BI37-BJ37</f>
        <v>#REF!</v>
      </c>
    </row>
    <row r="38" spans="2:63" ht="21" customHeight="1" x14ac:dyDescent="0.3">
      <c r="B38" s="100" t="s">
        <v>94</v>
      </c>
      <c r="C38" s="100" t="s">
        <v>95</v>
      </c>
      <c r="D38" s="100" t="s">
        <v>96</v>
      </c>
      <c r="E38" s="100" t="s">
        <v>40</v>
      </c>
      <c r="F38" s="100" t="s">
        <v>97</v>
      </c>
      <c r="G38" s="101">
        <v>1315139178</v>
      </c>
      <c r="H38" s="100" t="s">
        <v>98</v>
      </c>
      <c r="I38" s="100" t="s">
        <v>99</v>
      </c>
      <c r="J38" s="100" t="s">
        <v>15</v>
      </c>
      <c r="K38" s="100">
        <f>COUNT(#REF!)</f>
        <v>0</v>
      </c>
      <c r="L38" s="102" t="s">
        <v>34</v>
      </c>
      <c r="M38" s="103">
        <v>9</v>
      </c>
      <c r="N38" s="103">
        <v>9</v>
      </c>
      <c r="O38" s="103">
        <v>9</v>
      </c>
      <c r="P38" s="103">
        <v>9</v>
      </c>
      <c r="Q38" s="103">
        <v>11</v>
      </c>
      <c r="R38" s="103">
        <v>11</v>
      </c>
      <c r="S38" s="104" t="s">
        <v>35</v>
      </c>
      <c r="T38" s="103">
        <v>9</v>
      </c>
      <c r="U38" s="103">
        <v>9</v>
      </c>
      <c r="V38" s="103">
        <v>9</v>
      </c>
      <c r="W38" s="103">
        <v>9</v>
      </c>
      <c r="X38" s="103">
        <v>11</v>
      </c>
      <c r="Y38" s="103">
        <v>11</v>
      </c>
      <c r="Z38" s="104" t="s">
        <v>35</v>
      </c>
      <c r="AA38" s="103">
        <v>9</v>
      </c>
      <c r="AB38" s="103">
        <v>9</v>
      </c>
      <c r="AC38" s="103">
        <v>9</v>
      </c>
      <c r="AD38" s="103">
        <v>9</v>
      </c>
      <c r="AE38" s="103">
        <v>11</v>
      </c>
      <c r="AF38" s="103">
        <v>11</v>
      </c>
      <c r="AG38" s="104" t="s">
        <v>35</v>
      </c>
      <c r="AH38" s="103">
        <v>9</v>
      </c>
      <c r="AI38" s="103">
        <v>9</v>
      </c>
      <c r="AJ38" s="103">
        <v>9</v>
      </c>
      <c r="AK38" s="103">
        <v>9</v>
      </c>
      <c r="AL38" s="103">
        <v>11</v>
      </c>
      <c r="AM38" s="103">
        <v>11</v>
      </c>
      <c r="AN38" s="104" t="s">
        <v>35</v>
      </c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85" t="s">
        <v>48</v>
      </c>
      <c r="BD38" s="88"/>
      <c r="BE38" s="85"/>
      <c r="BF38" s="88"/>
      <c r="BG38" s="68"/>
      <c r="BH38" s="93"/>
      <c r="BI38" s="93"/>
      <c r="BJ38" s="93"/>
    </row>
    <row r="39" spans="2:63" ht="21" customHeight="1" x14ac:dyDescent="0.3">
      <c r="B39" s="100" t="s">
        <v>94</v>
      </c>
      <c r="C39" s="100" t="s">
        <v>95</v>
      </c>
      <c r="D39" s="100" t="s">
        <v>96</v>
      </c>
      <c r="E39" s="100" t="s">
        <v>40</v>
      </c>
      <c r="F39" s="100" t="s">
        <v>97</v>
      </c>
      <c r="G39" s="101">
        <v>1315139178</v>
      </c>
      <c r="H39" s="100" t="s">
        <v>98</v>
      </c>
      <c r="I39" s="100" t="s">
        <v>99</v>
      </c>
      <c r="J39" s="100" t="s">
        <v>100</v>
      </c>
      <c r="K39" s="100"/>
      <c r="L39" s="102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85"/>
      <c r="BD39" s="88"/>
      <c r="BE39" s="68"/>
      <c r="BF39" s="88"/>
      <c r="BG39" s="68"/>
      <c r="BH39" s="46" t="e">
        <f>SUM(#REF!)</f>
        <v>#REF!</v>
      </c>
      <c r="BI39" s="46"/>
      <c r="BJ39" s="53" t="e">
        <f>SUBTOTAL(9,BH39:BI39)</f>
        <v>#REF!</v>
      </c>
      <c r="BK39" s="10" t="e">
        <f>+BH39+BI39-BJ39</f>
        <v>#REF!</v>
      </c>
    </row>
    <row r="40" spans="2:63" ht="21" customHeight="1" x14ac:dyDescent="0.3">
      <c r="BH40" s="109" t="e">
        <f>SUM(BH6:BH39)</f>
        <v>#REF!</v>
      </c>
      <c r="BI40" s="109">
        <f t="shared" ref="BI40:BK40" si="0">SUM(BI6:BI39)</f>
        <v>12</v>
      </c>
      <c r="BJ40" s="109" t="e">
        <f t="shared" si="0"/>
        <v>#REF!</v>
      </c>
      <c r="BK40" s="109" t="e">
        <f t="shared" si="0"/>
        <v>#REF!</v>
      </c>
    </row>
  </sheetData>
  <autoFilter ref="B5:L40" xr:uid="{69D129DA-6747-44BF-978A-5F98356DFF07}"/>
  <mergeCells count="8">
    <mergeCell ref="BD4:BG4"/>
    <mergeCell ref="BH4:BJ4"/>
    <mergeCell ref="A1:A4"/>
    <mergeCell ref="B1:D3"/>
    <mergeCell ref="E1:F3"/>
    <mergeCell ref="G1:L2"/>
    <mergeCell ref="G3:L3"/>
    <mergeCell ref="B4:L4"/>
  </mergeCells>
  <conditionalFormatting sqref="M15:BB15 M19:BB19">
    <cfRule type="cellIs" dxfId="1" priority="1" operator="between">
      <formula>1</formula>
      <formula>9</formula>
    </cfRule>
    <cfRule type="cellIs" dxfId="0" priority="2" operator="between">
      <formula>2</formula>
      <formula>5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2026-03-04T15:34:49Z</dcterms:created>
  <dcterms:modified xsi:type="dcterms:W3CDTF">2026-03-04T15:36:18Z</dcterms:modified>
</cp:coreProperties>
</file>